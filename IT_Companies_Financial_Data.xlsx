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5896ffc6831d12/Documents/"/>
    </mc:Choice>
  </mc:AlternateContent>
  <xr:revisionPtr revIDLastSave="848" documentId="8_{50F88876-F96D-4F9B-9B2C-61F0CD63175C}" xr6:coauthVersionLast="47" xr6:coauthVersionMax="47" xr10:uidLastSave="{9A0B6125-B77A-4D9E-BCF8-EE4677F6C5AA}"/>
  <bookViews>
    <workbookView xWindow="-108" yWindow="-108" windowWidth="23256" windowHeight="12456" activeTab="1" xr2:uid="{C339BD5A-004C-4BE7-90AC-F75AC12200BD}"/>
  </bookViews>
  <sheets>
    <sheet name="Summary" sheetId="1" r:id="rId1"/>
    <sheet name="Final_Data" sheetId="11" r:id="rId2"/>
    <sheet name="TCS" sheetId="5" r:id="rId3"/>
    <sheet name="Infosys" sheetId="6" r:id="rId4"/>
    <sheet name="HCLTech" sheetId="7" r:id="rId5"/>
    <sheet name="Wipro" sheetId="9" r:id="rId6"/>
    <sheet name="TechM" sheetId="10" r:id="rId7"/>
  </sheets>
  <definedNames>
    <definedName name="UPDATE" localSheetId="4">HCLTech!$E$1</definedName>
    <definedName name="UPDATE" localSheetId="3">Infosys!$E$1</definedName>
    <definedName name="UPDATE" localSheetId="2">TCS!$E$1</definedName>
    <definedName name="UPDATE" localSheetId="6">TechM!$E$1</definedName>
    <definedName name="UPDATE" localSheetId="5">Wipro!$E$1</definedName>
    <definedName name="UP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1" l="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2" i="11"/>
  <c r="L43" i="1"/>
  <c r="L44" i="1"/>
  <c r="L45" i="1"/>
  <c r="L46" i="1"/>
  <c r="L47" i="1"/>
  <c r="L48" i="1"/>
  <c r="L49" i="1"/>
  <c r="L50" i="1"/>
  <c r="L51" i="1"/>
  <c r="L33" i="1"/>
  <c r="L34" i="1"/>
  <c r="L35" i="1"/>
  <c r="L36" i="1"/>
  <c r="L37" i="1"/>
  <c r="L38" i="1"/>
  <c r="L39" i="1"/>
  <c r="L40" i="1"/>
  <c r="L41" i="1"/>
  <c r="L23" i="1"/>
  <c r="L24" i="1"/>
  <c r="L25" i="1"/>
  <c r="L26" i="1"/>
  <c r="L27" i="1"/>
  <c r="L28" i="1"/>
  <c r="L29" i="1"/>
  <c r="L30" i="1"/>
  <c r="L31" i="1"/>
  <c r="L13" i="1"/>
  <c r="L14" i="1"/>
  <c r="L15" i="1"/>
  <c r="L16" i="1"/>
  <c r="L17" i="1"/>
  <c r="L18" i="1"/>
  <c r="L19" i="1"/>
  <c r="L20" i="1"/>
  <c r="L21" i="1"/>
  <c r="L3" i="1"/>
  <c r="L4" i="1"/>
  <c r="L5" i="1"/>
  <c r="L6" i="1"/>
  <c r="L7" i="1"/>
  <c r="L8" i="1"/>
  <c r="L9" i="1"/>
  <c r="L10" i="1"/>
  <c r="L11" i="1"/>
  <c r="K43" i="1" l="1"/>
  <c r="K44" i="1"/>
  <c r="K45" i="1"/>
  <c r="K46" i="1"/>
  <c r="K47" i="1"/>
  <c r="K48" i="1"/>
  <c r="K49" i="1"/>
  <c r="K50" i="1"/>
  <c r="K51" i="1"/>
  <c r="K42" i="1"/>
  <c r="J43" i="1"/>
  <c r="J44" i="1"/>
  <c r="J45" i="1"/>
  <c r="J46" i="1"/>
  <c r="J47" i="1"/>
  <c r="J48" i="1"/>
  <c r="J49" i="1"/>
  <c r="J50" i="1"/>
  <c r="J51" i="1"/>
  <c r="J42" i="1"/>
  <c r="I43" i="1" l="1"/>
  <c r="I44" i="1"/>
  <c r="I45" i="1"/>
  <c r="I46" i="1"/>
  <c r="I47" i="1"/>
  <c r="I48" i="1"/>
  <c r="I49" i="1"/>
  <c r="I50" i="1"/>
  <c r="I51" i="1"/>
  <c r="I42" i="1"/>
  <c r="G43" i="1"/>
  <c r="G44" i="1"/>
  <c r="G45" i="1"/>
  <c r="G46" i="1"/>
  <c r="G47" i="1"/>
  <c r="G48" i="1"/>
  <c r="G49" i="1"/>
  <c r="G50" i="1"/>
  <c r="G51" i="1"/>
  <c r="G42" i="1"/>
  <c r="F43" i="1"/>
  <c r="F44" i="1"/>
  <c r="F45" i="1"/>
  <c r="F46" i="1"/>
  <c r="F47" i="1"/>
  <c r="F48" i="1"/>
  <c r="F49" i="1"/>
  <c r="F50" i="1"/>
  <c r="F51" i="1"/>
  <c r="F42" i="1"/>
  <c r="E51" i="1"/>
  <c r="E50" i="1"/>
  <c r="E49" i="1"/>
  <c r="E48" i="1"/>
  <c r="E47" i="1"/>
  <c r="E46" i="1"/>
  <c r="E45" i="1"/>
  <c r="E44" i="1"/>
  <c r="E43" i="1"/>
  <c r="E42" i="1"/>
  <c r="F51" i="5"/>
  <c r="F50" i="5"/>
  <c r="F49" i="5"/>
  <c r="F48" i="5"/>
  <c r="F47" i="5"/>
  <c r="F46" i="5"/>
  <c r="F45" i="5"/>
  <c r="F44" i="5"/>
  <c r="F43" i="5"/>
  <c r="F42" i="5"/>
  <c r="D43" i="1"/>
  <c r="D44" i="1"/>
  <c r="D45" i="1"/>
  <c r="D46" i="1"/>
  <c r="D47" i="1"/>
  <c r="D48" i="1"/>
  <c r="D49" i="1"/>
  <c r="D50" i="1"/>
  <c r="D51" i="1"/>
  <c r="D42" i="1"/>
  <c r="C43" i="1"/>
  <c r="C44" i="1"/>
  <c r="C45" i="1"/>
  <c r="C46" i="1"/>
  <c r="C47" i="1"/>
  <c r="C48" i="1"/>
  <c r="C49" i="1"/>
  <c r="C50" i="1"/>
  <c r="C51" i="1"/>
  <c r="C42" i="1"/>
  <c r="K33" i="1"/>
  <c r="K34" i="1"/>
  <c r="K35" i="1"/>
  <c r="K36" i="1"/>
  <c r="K37" i="1"/>
  <c r="K38" i="1"/>
  <c r="K39" i="1"/>
  <c r="K40" i="1"/>
  <c r="K41" i="1"/>
  <c r="K32" i="1"/>
  <c r="J33" i="1"/>
  <c r="J34" i="1"/>
  <c r="J35" i="1"/>
  <c r="J36" i="1"/>
  <c r="J37" i="1"/>
  <c r="J38" i="1"/>
  <c r="J39" i="1"/>
  <c r="J40" i="1"/>
  <c r="J41" i="1"/>
  <c r="J32" i="1"/>
  <c r="H48" i="1" l="1"/>
  <c r="H51" i="1"/>
  <c r="H43" i="1"/>
  <c r="H42" i="1"/>
  <c r="H50" i="1"/>
  <c r="H49" i="1"/>
  <c r="H47" i="1"/>
  <c r="H46" i="1"/>
  <c r="H45" i="1"/>
  <c r="H44" i="1"/>
  <c r="I33" i="1"/>
  <c r="I34" i="1"/>
  <c r="I35" i="1"/>
  <c r="I36" i="1"/>
  <c r="I37" i="1"/>
  <c r="I38" i="1"/>
  <c r="I39" i="1"/>
  <c r="I40" i="1"/>
  <c r="I41" i="1"/>
  <c r="I32" i="1"/>
  <c r="G33" i="1"/>
  <c r="G34" i="1"/>
  <c r="G35" i="1"/>
  <c r="G36" i="1"/>
  <c r="G37" i="1"/>
  <c r="G38" i="1"/>
  <c r="G39" i="1"/>
  <c r="G40" i="1"/>
  <c r="G41" i="1"/>
  <c r="G32" i="1"/>
  <c r="F33" i="1"/>
  <c r="F34" i="1"/>
  <c r="F35" i="1"/>
  <c r="F36" i="1"/>
  <c r="F37" i="1"/>
  <c r="F38" i="1"/>
  <c r="F39" i="1"/>
  <c r="F40" i="1"/>
  <c r="F41" i="1"/>
  <c r="F32" i="1"/>
  <c r="D37" i="1"/>
  <c r="E41" i="1"/>
  <c r="E40" i="1"/>
  <c r="E39" i="1"/>
  <c r="E38" i="1"/>
  <c r="E37" i="1"/>
  <c r="E36" i="1"/>
  <c r="E35" i="1"/>
  <c r="E34" i="1"/>
  <c r="E33" i="1"/>
  <c r="E32" i="1"/>
  <c r="D33" i="1"/>
  <c r="D34" i="1"/>
  <c r="D35" i="1"/>
  <c r="D36" i="1"/>
  <c r="D38" i="1"/>
  <c r="D39" i="1"/>
  <c r="D40" i="1"/>
  <c r="D41" i="1"/>
  <c r="D32" i="1"/>
  <c r="C33" i="1"/>
  <c r="C34" i="1"/>
  <c r="C35" i="1"/>
  <c r="C36" i="1"/>
  <c r="C37" i="1"/>
  <c r="C38" i="1"/>
  <c r="C39" i="1"/>
  <c r="C40" i="1"/>
  <c r="C41" i="1"/>
  <c r="C32" i="1"/>
  <c r="K23" i="1"/>
  <c r="K24" i="1"/>
  <c r="K25" i="1"/>
  <c r="K26" i="1"/>
  <c r="K27" i="1"/>
  <c r="K28" i="1"/>
  <c r="K29" i="1"/>
  <c r="K30" i="1"/>
  <c r="K31" i="1"/>
  <c r="K22" i="1"/>
  <c r="J23" i="1"/>
  <c r="J24" i="1"/>
  <c r="J25" i="1"/>
  <c r="J26" i="1"/>
  <c r="J27" i="1"/>
  <c r="J28" i="1"/>
  <c r="J29" i="1"/>
  <c r="J30" i="1"/>
  <c r="J31" i="1"/>
  <c r="H33" i="1" l="1"/>
  <c r="H40" i="1"/>
  <c r="H37" i="1"/>
  <c r="H32" i="1"/>
  <c r="H41" i="1"/>
  <c r="H39" i="1"/>
  <c r="H38" i="1"/>
  <c r="H36" i="1"/>
  <c r="H35" i="1"/>
  <c r="H34" i="1"/>
  <c r="J22" i="1"/>
  <c r="I23" i="1"/>
  <c r="I24" i="1"/>
  <c r="I25" i="1"/>
  <c r="I26" i="1"/>
  <c r="I27" i="1"/>
  <c r="I28" i="1"/>
  <c r="I29" i="1"/>
  <c r="I30" i="1"/>
  <c r="I31" i="1"/>
  <c r="I22" i="1"/>
  <c r="G23" i="1"/>
  <c r="G24" i="1"/>
  <c r="G25" i="1"/>
  <c r="G26" i="1"/>
  <c r="G27" i="1"/>
  <c r="G28" i="1"/>
  <c r="G29" i="1"/>
  <c r="G30" i="1"/>
  <c r="G31" i="1"/>
  <c r="G22" i="1"/>
  <c r="F23" i="1"/>
  <c r="F24" i="1"/>
  <c r="F25" i="1"/>
  <c r="F26" i="1"/>
  <c r="F27" i="1"/>
  <c r="F28" i="1"/>
  <c r="F29" i="1"/>
  <c r="F30" i="1"/>
  <c r="F31" i="1"/>
  <c r="F22" i="1"/>
  <c r="E31" i="1"/>
  <c r="E30" i="1"/>
  <c r="E29" i="1"/>
  <c r="E28" i="1"/>
  <c r="E27" i="1"/>
  <c r="E26" i="1"/>
  <c r="E25" i="1"/>
  <c r="E24" i="1"/>
  <c r="E23" i="1"/>
  <c r="E22" i="1"/>
  <c r="D23" i="1"/>
  <c r="D24" i="1"/>
  <c r="D25" i="1"/>
  <c r="D26" i="1"/>
  <c r="D27" i="1"/>
  <c r="D28" i="1"/>
  <c r="D29" i="1"/>
  <c r="D30" i="1"/>
  <c r="D31" i="1"/>
  <c r="D22" i="1"/>
  <c r="C23" i="1"/>
  <c r="C24" i="1"/>
  <c r="C25" i="1"/>
  <c r="C26" i="1"/>
  <c r="C27" i="1"/>
  <c r="C28" i="1"/>
  <c r="C29" i="1"/>
  <c r="C30" i="1"/>
  <c r="C31" i="1"/>
  <c r="C22" i="1"/>
  <c r="K13" i="1"/>
  <c r="K14" i="1"/>
  <c r="K15" i="1"/>
  <c r="K16" i="1"/>
  <c r="K17" i="1"/>
  <c r="K18" i="1"/>
  <c r="K19" i="1"/>
  <c r="K20" i="1"/>
  <c r="K21" i="1"/>
  <c r="K12" i="1"/>
  <c r="J13" i="1"/>
  <c r="J14" i="1"/>
  <c r="J15" i="1"/>
  <c r="J16" i="1"/>
  <c r="J17" i="1"/>
  <c r="J18" i="1"/>
  <c r="J19" i="1"/>
  <c r="J20" i="1"/>
  <c r="J21" i="1"/>
  <c r="J12" i="1"/>
  <c r="J2" i="1"/>
  <c r="H29" i="1" l="1"/>
  <c r="H23" i="1"/>
  <c r="H30" i="1"/>
  <c r="H27" i="1"/>
  <c r="H25" i="1"/>
  <c r="H22" i="1"/>
  <c r="H31" i="1"/>
  <c r="H28" i="1"/>
  <c r="H26" i="1"/>
  <c r="H24" i="1"/>
  <c r="I15" i="1"/>
  <c r="I16" i="1"/>
  <c r="I17" i="1"/>
  <c r="I18" i="1"/>
  <c r="I19" i="1"/>
  <c r="I20" i="1"/>
  <c r="I21" i="1"/>
  <c r="I2" i="1"/>
  <c r="G13" i="1"/>
  <c r="G14" i="1"/>
  <c r="G15" i="1"/>
  <c r="G16" i="1"/>
  <c r="G17" i="1"/>
  <c r="G18" i="1"/>
  <c r="H18" i="1" s="1"/>
  <c r="G19" i="1"/>
  <c r="G20" i="1"/>
  <c r="G21" i="1"/>
  <c r="G12" i="1"/>
  <c r="F13" i="1"/>
  <c r="F14" i="1"/>
  <c r="F15" i="1"/>
  <c r="F16" i="1"/>
  <c r="F17" i="1"/>
  <c r="F18" i="1"/>
  <c r="F19" i="1"/>
  <c r="F20" i="1"/>
  <c r="F21" i="1"/>
  <c r="F12" i="1"/>
  <c r="K11" i="1"/>
  <c r="J11" i="1"/>
  <c r="I11" i="1"/>
  <c r="G11" i="1"/>
  <c r="F11" i="1"/>
  <c r="E11" i="1"/>
  <c r="D11" i="1"/>
  <c r="C11" i="1"/>
  <c r="K10" i="1"/>
  <c r="J10" i="1"/>
  <c r="I10" i="1"/>
  <c r="G10" i="1"/>
  <c r="F10" i="1"/>
  <c r="E10" i="1"/>
  <c r="D10" i="1"/>
  <c r="C10" i="1"/>
  <c r="K9" i="1"/>
  <c r="J9" i="1"/>
  <c r="I9" i="1"/>
  <c r="G9" i="1"/>
  <c r="F9" i="1"/>
  <c r="E9" i="1"/>
  <c r="D9" i="1"/>
  <c r="C9" i="1"/>
  <c r="K8" i="1"/>
  <c r="J8" i="1"/>
  <c r="I8" i="1"/>
  <c r="G8" i="1"/>
  <c r="F8" i="1"/>
  <c r="E8" i="1"/>
  <c r="D8" i="1"/>
  <c r="C8" i="1"/>
  <c r="K7" i="1"/>
  <c r="J7" i="1"/>
  <c r="I7" i="1"/>
  <c r="G7" i="1"/>
  <c r="F7" i="1"/>
  <c r="E7" i="1"/>
  <c r="D7" i="1"/>
  <c r="C7" i="1"/>
  <c r="K6" i="1"/>
  <c r="J6" i="1"/>
  <c r="I6" i="1"/>
  <c r="G6" i="1"/>
  <c r="F6" i="1"/>
  <c r="E6" i="1"/>
  <c r="D6" i="1"/>
  <c r="C6" i="1"/>
  <c r="K5" i="1"/>
  <c r="J5" i="1"/>
  <c r="I5" i="1"/>
  <c r="G5" i="1"/>
  <c r="F5" i="1"/>
  <c r="E5" i="1"/>
  <c r="D5" i="1"/>
  <c r="C5" i="1"/>
  <c r="K4" i="1"/>
  <c r="J4" i="1"/>
  <c r="I4" i="1"/>
  <c r="G4" i="1"/>
  <c r="F4" i="1"/>
  <c r="E4" i="1"/>
  <c r="D4" i="1"/>
  <c r="C4" i="1"/>
  <c r="K3" i="1"/>
  <c r="J3" i="1"/>
  <c r="I3" i="1"/>
  <c r="G3" i="1"/>
  <c r="F3" i="1"/>
  <c r="E3" i="1"/>
  <c r="D3" i="1"/>
  <c r="C3" i="1"/>
  <c r="K2" i="1"/>
  <c r="G2" i="1"/>
  <c r="F2" i="1"/>
  <c r="E2" i="1"/>
  <c r="D2" i="1"/>
  <c r="C2" i="1"/>
  <c r="E21" i="1"/>
  <c r="E20" i="1"/>
  <c r="E19" i="1"/>
  <c r="E18" i="1"/>
  <c r="E17" i="1"/>
  <c r="E16" i="1"/>
  <c r="E15" i="1"/>
  <c r="E14" i="1"/>
  <c r="E13" i="1"/>
  <c r="E12" i="1"/>
  <c r="D13" i="1"/>
  <c r="D14" i="1"/>
  <c r="D15" i="1"/>
  <c r="D16" i="1"/>
  <c r="D17" i="1"/>
  <c r="D18" i="1"/>
  <c r="D19" i="1"/>
  <c r="D20" i="1"/>
  <c r="D21" i="1"/>
  <c r="D12" i="1"/>
  <c r="C13" i="1"/>
  <c r="C14" i="1"/>
  <c r="C15" i="1"/>
  <c r="C16" i="1"/>
  <c r="C17" i="1"/>
  <c r="C18" i="1"/>
  <c r="C19" i="1"/>
  <c r="C20" i="1"/>
  <c r="C21" i="1"/>
  <c r="C12" i="1"/>
  <c r="B6" i="10"/>
  <c r="E1" i="10"/>
  <c r="H4" i="1" l="1"/>
  <c r="H8" i="1"/>
  <c r="H6" i="1"/>
  <c r="H10" i="1"/>
  <c r="H11" i="1"/>
  <c r="H3" i="1"/>
  <c r="H7" i="1"/>
  <c r="H2" i="1"/>
  <c r="H5" i="1"/>
  <c r="H9" i="1"/>
  <c r="H12" i="1"/>
  <c r="H21" i="1"/>
  <c r="H20" i="1"/>
  <c r="H17" i="1"/>
  <c r="H16" i="1"/>
  <c r="H15" i="1"/>
  <c r="H19" i="1"/>
  <c r="H14" i="1"/>
  <c r="H13" i="1"/>
  <c r="B6" i="9"/>
  <c r="E1" i="9"/>
  <c r="B6" i="7" l="1"/>
  <c r="E1" i="7"/>
  <c r="B6" i="6" l="1"/>
  <c r="E1" i="6"/>
  <c r="B6" i="5" l="1"/>
  <c r="E1" i="5"/>
</calcChain>
</file>

<file path=xl/sharedStrings.xml><?xml version="1.0" encoding="utf-8"?>
<sst xmlns="http://schemas.openxmlformats.org/spreadsheetml/2006/main" count="467" uniqueCount="78">
  <si>
    <t>Company</t>
  </si>
  <si>
    <t>Year</t>
  </si>
  <si>
    <t>Revenue</t>
  </si>
  <si>
    <t>Net Profit</t>
  </si>
  <si>
    <t>Total Assets</t>
  </si>
  <si>
    <t>Equity Capital</t>
  </si>
  <si>
    <t>Reserves</t>
  </si>
  <si>
    <t>Borrowings</t>
  </si>
  <si>
    <t>EPS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</si>
  <si>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</si>
  <si>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</si>
  <si>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</si>
  <si>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</si>
  <si>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</si>
  <si>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</si>
  <si>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</si>
  <si>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</si>
  <si>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</si>
  <si>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</si>
  <si>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</si>
  <si>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</si>
  <si>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</si>
  <si>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</si>
  <si>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</si>
  <si>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</si>
  <si>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</si>
  <si>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</si>
  <si>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</si>
  <si>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</si>
  <si>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</si>
  <si>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</si>
  <si>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</si>
  <si>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</si>
  <si>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</si>
  <si>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</si>
  <si>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</si>
  <si>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</si>
  <si>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</si>
  <si>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</si>
  <si>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Equity Share Capital</t>
  </si>
  <si>
    <t>BALANCE SHEET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</si>
  <si>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</si>
  <si>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</si>
  <si>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</si>
  <si>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</si>
  <si>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</si>
  <si>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</si>
  <si>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</si>
  <si>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</si>
  <si>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</si>
  <si>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</si>
  <si>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</si>
  <si>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</si>
  <si>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</si>
  <si>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</si>
  <si>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</si>
  <si>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</si>
  <si>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</si>
  <si>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</si>
  <si>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TATA CONSULTANCY SERVICES LTD</t>
  </si>
  <si>
    <t>COMPANY NAME</t>
  </si>
  <si>
    <t>INFOSYS LTD</t>
  </si>
  <si>
    <t>HCL TECHNOLOGIES LTD</t>
  </si>
  <si>
    <t>WIPRO LTD</t>
  </si>
  <si>
    <t>TECH MAHINDRA LTD</t>
  </si>
  <si>
    <t>TCS</t>
  </si>
  <si>
    <t>ROE</t>
  </si>
  <si>
    <t>Return on Equity</t>
  </si>
  <si>
    <t>Infosys</t>
  </si>
  <si>
    <t>HCLTech</t>
  </si>
  <si>
    <t>Wipro</t>
  </si>
  <si>
    <t>Tech Mahindra</t>
  </si>
  <si>
    <t>Return on Capital Emp</t>
  </si>
  <si>
    <t>ROCE</t>
  </si>
  <si>
    <t>Shareholders' Equity</t>
  </si>
  <si>
    <t>Net Profit Margin</t>
  </si>
  <si>
    <t>ROA</t>
  </si>
  <si>
    <t>Debt-to-Equity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</si>
</sst>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\-yy;@"/>
    <numFmt numFmtId="165" formatCode="_ * #,##0.00_ ;_ * \-#,##0.00_ ;_ * &quot;-&quot;??_ ;_ @_ "/>
    <numFmt numFmtId="166" formatCode="mmm\ yy"/>
    <numFmt numFmtId="167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5" borderId="0" applyNumberFormat="0" applyBorder="0" applyAlignment="0" applyProtection="0"/>
    <xf numFmtId="165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4" fillId="6" borderId="0" xfId="0" applyNumberFormat="1" applyFont="1" applyFill="1" applyAlignment="1">
      <alignment horizontal="center"/>
    </xf>
    <xf numFmtId="165" fontId="1" fillId="0" borderId="0" xfId="2" applyFont="1" applyBorder="1"/>
    <xf numFmtId="165" fontId="3" fillId="0" borderId="0" xfId="2" applyFont="1" applyBorder="1"/>
    <xf numFmtId="37" fontId="1" fillId="2" borderId="1" xfId="0" applyNumberFormat="1" applyFont="1" applyFill="1" applyBorder="1"/>
    <xf numFmtId="37" fontId="0" fillId="0" borderId="1" xfId="0" applyNumberFormat="1" applyBorder="1"/>
    <xf numFmtId="37" fontId="0" fillId="0" borderId="0" xfId="0" applyNumberFormat="1"/>
    <xf numFmtId="165" fontId="0" fillId="0" borderId="0" xfId="2" applyFont="1" applyBorder="1"/>
    <xf numFmtId="43" fontId="0" fillId="0" borderId="0" xfId="2" applyNumberFormat="1" applyFont="1" applyBorder="1"/>
    <xf numFmtId="164" fontId="6" fillId="0" borderId="0" xfId="2" applyNumberFormat="1" applyFont="1" applyFill="1" applyBorder="1"/>
    <xf numFmtId="164" fontId="4" fillId="6" borderId="0" xfId="2" applyNumberFormat="1" applyFont="1" applyFill="1" applyBorder="1"/>
    <xf numFmtId="166" fontId="0" fillId="0" borderId="1" xfId="0" applyNumberFormat="1" applyBorder="1"/>
    <xf numFmtId="0" fontId="1" fillId="0" borderId="0" xfId="0" applyFont="1"/>
    <xf numFmtId="9" fontId="1" fillId="0" borderId="0" xfId="6" applyFont="1" applyBorder="1"/>
    <xf numFmtId="9" fontId="3" fillId="0" borderId="1" xfId="6" applyFont="1" applyBorder="1"/>
    <xf numFmtId="165" fontId="3" fillId="0" borderId="1" xfId="2" applyFont="1" applyBorder="1"/>
    <xf numFmtId="2" fontId="0" fillId="0" borderId="0" xfId="0" applyNumberFormat="1"/>
    <xf numFmtId="2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1" fontId="0" fillId="0" borderId="0" xfId="2" applyNumberFormat="1" applyFont="1" applyBorder="1"/>
    <xf numFmtId="9" fontId="1" fillId="2" borderId="1" xfId="0" applyNumberFormat="1" applyFont="1" applyFill="1" applyBorder="1"/>
    <xf numFmtId="9" fontId="0" fillId="0" borderId="0" xfId="0" applyNumberFormat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167" fontId="0" fillId="0" borderId="1" xfId="0" applyNumberFormat="1" applyBorder="1"/>
    <xf numFmtId="165" fontId="7" fillId="0" borderId="0" xfId="5" applyNumberFormat="1" applyBorder="1" applyAlignment="1" applyProtection="1">
      <alignment horizontal="center"/>
    </xf>
    <xf numFmtId="165" fontId="4" fillId="5" borderId="0" xfId="1" applyNumberFormat="1" applyFont="1" applyBorder="1" applyAlignment="1">
      <alignment horizontal="center"/>
    </xf>
  </cellXfs>
  <cellStyles count="7">
    <cellStyle name="60% - Accent1 2" xfId="3" xr:uid="{EB8B61D4-FFBB-482E-897E-D82E85733922}"/>
    <cellStyle name="60% - Accent3 2" xfId="4" xr:uid="{D3D59883-6E52-4FC0-806B-782252843B9D}"/>
    <cellStyle name="Accent6" xfId="1" builtinId="49"/>
    <cellStyle name="Comma 2" xfId="2" xr:uid="{5078CB44-AD3B-4D7C-8D90-B2A46089D6FB}"/>
    <cellStyle name="Hyperlink 2" xfId="5" xr:uid="{E461B966-13BD-4DA7-8DB8-BD3A247C3664}"/>
    <cellStyle name="Normal" xfId="0" builtinId="0"/>
    <cellStyle name="Percent" xfId="6" builtinId="5"/>
  </cellStyles>
  <dxfs count="5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DDB7-8A9C-438A-91A2-BE38DCDE9EF9}">
  <dimension ref="A1:V52"/>
  <sheetViews>
    <sheetView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3" customWidth="1"/>
    <col min="2" max="2" width="9.5546875" bestFit="1" customWidth="1"/>
    <col min="3" max="3" width="15.21875" style="9" customWidth="1"/>
    <col min="4" max="4" width="11.6640625" customWidth="1"/>
    <col min="5" max="5" width="11.5546875" customWidth="1"/>
    <col min="6" max="6" width="13.21875" customWidth="1"/>
    <col min="7" max="7" width="8.33203125" customWidth="1"/>
    <col min="8" max="8" width="19.21875" customWidth="1"/>
    <col min="9" max="9" width="12" customWidth="1"/>
    <col min="12" max="12" width="11.6640625" style="26" customWidth="1"/>
    <col min="14" max="14" width="11.5546875" bestFit="1" customWidth="1"/>
  </cols>
  <sheetData>
    <row r="1" spans="1:14" x14ac:dyDescent="0.3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</v>
      </c>
      <c r="J1" s="1" t="s">
        <v>8</v>
      </c>
      <c r="K1" s="1" t="s">
        <v>66</v>
      </c>
      <c r="L1" s="25" t="s">
        <v>73</v>
      </c>
    </row>
    <row r="2" spans="1:14" x14ac:dyDescent="0.3">
      <c r="A2" s="2" t="s">
        <v>65</v>
      </c>
      <c r="B2" s="14">
        <v>42825</v>
      </c>
      <c r="C2" s="8">
        <f>INDEX(TCS!$B:$K,MATCH("Sales",TCS!$A:$A,0),MATCH($B2,TCS!$B$16:$K$16,0))</f>
        <v>117966</v>
      </c>
      <c r="D2" s="3">
        <f>INDEX(TCS!$B:$K,MATCH("Net profit",TCS!$A:$A,0),MATCH($B2,TCS!$B$16:$K$16,0))</f>
        <v>26289</v>
      </c>
      <c r="E2" s="2">
        <f>TCS!B66</f>
        <v>102333</v>
      </c>
      <c r="F2" s="2">
        <f>INDEX(TCS!$B:$K,MATCH("Equity Share Capital",TCS!$A:$A,0),MATCH($B2,TCS!$B$16:$K$16,0))</f>
        <v>197</v>
      </c>
      <c r="G2" s="2">
        <f>INDEX(TCS!$B:$K,MATCH("Reserves",TCS!$A:$A,0),MATCH($B2,TCS!$B$16:$K$16,0))</f>
        <v>86017</v>
      </c>
      <c r="H2" s="2">
        <f>F2+G2</f>
        <v>86214</v>
      </c>
      <c r="I2" s="2">
        <f>INDEX(TCS!$B:$K,MATCH("Borrowings",TCS!$A:$A,0),MATCH($B2,TCS!$B$16:$K$16,0))</f>
        <v>289</v>
      </c>
      <c r="J2" s="18">
        <f>INDEX(TCS!$B:$K,MATCH("EPS",TCS!$A:$A,0),MATCH($B2,TCS!$B$16:$K$16,0))</f>
        <v>66.708112360120793</v>
      </c>
      <c r="K2" s="17">
        <f>INDEX(TCS!$B:$K,MATCH("Return on Equity",TCS!$A:$A,0),MATCH($B2,TCS!$B$16:$K$16,0))</f>
        <v>0.30492727399262298</v>
      </c>
      <c r="L2" s="27"/>
      <c r="N2" s="19"/>
    </row>
    <row r="3" spans="1:14" x14ac:dyDescent="0.3">
      <c r="A3" s="2" t="s">
        <v>65</v>
      </c>
      <c r="B3" s="14">
        <v>43190</v>
      </c>
      <c r="C3" s="8">
        <f>INDEX(TCS!$B:$K,MATCH("Sales",TCS!$A:$A,0),MATCH($B3,TCS!$B$16:$K$16,0))</f>
        <v>123104</v>
      </c>
      <c r="D3" s="3">
        <f>INDEX(TCS!$B:$K,MATCH("Net profit",TCS!$A:$A,0),MATCH($B3,TCS!$B$16:$K$16,0))</f>
        <v>25826</v>
      </c>
      <c r="E3" s="2">
        <f>TCS!C66</f>
        <v>105126</v>
      </c>
      <c r="F3" s="2">
        <f>INDEX(TCS!$B:$K,MATCH("Equity Share Capital",TCS!$A:$A,0),MATCH($B3,TCS!$B$16:$K$16,0))</f>
        <v>191</v>
      </c>
      <c r="G3" s="2">
        <f>INDEX(TCS!$B:$K,MATCH("Reserves",TCS!$A:$A,0),MATCH($B3,TCS!$B$16:$K$16,0))</f>
        <v>84937</v>
      </c>
      <c r="H3" s="2">
        <f t="shared" ref="H3:H11" si="0">F3+G3</f>
        <v>85128</v>
      </c>
      <c r="I3" s="2">
        <f>INDEX(TCS!$B:$K,MATCH("Borrowings",TCS!$A:$A,0),MATCH($B3,TCS!$B$16:$K$16,0))</f>
        <v>247</v>
      </c>
      <c r="J3" s="18">
        <f>INDEX(TCS!$B:$K,MATCH("EPS",TCS!$A:$A,0),MATCH($B3,TCS!$B$16:$K$16,0))</f>
        <v>67.455466750248135</v>
      </c>
      <c r="K3" s="17">
        <f>INDEX(TCS!$B:$K,MATCH("Return on Equity",TCS!$A:$A,0),MATCH($B3,TCS!$B$16:$K$16,0))</f>
        <v>0.30337844187576357</v>
      </c>
      <c r="L3" s="21">
        <f>INDEX(TCS!$B:$K,MATCH("Return on Capital Emp",TCS!$A:$A,0),MATCH($B3,TCS!$B$16:$K$16,0))</f>
        <v>0.39730506522067977</v>
      </c>
      <c r="N3" s="19"/>
    </row>
    <row r="4" spans="1:14" x14ac:dyDescent="0.3">
      <c r="A4" s="2" t="s">
        <v>65</v>
      </c>
      <c r="B4" s="14">
        <v>43555</v>
      </c>
      <c r="C4" s="8">
        <f>INDEX(TCS!$B:$K,MATCH("Sales",TCS!$A:$A,0),MATCH($B4,TCS!$B$16:$K$16,0))</f>
        <v>146463</v>
      </c>
      <c r="D4" s="3">
        <f>INDEX(TCS!$B:$K,MATCH("Net profit",TCS!$A:$A,0),MATCH($B4,TCS!$B$16:$K$16,0))</f>
        <v>31472</v>
      </c>
      <c r="E4" s="2">
        <f>TCS!D66</f>
        <v>113901</v>
      </c>
      <c r="F4" s="2">
        <f>INDEX(TCS!$B:$K,MATCH("Equity Share Capital",TCS!$A:$A,0),MATCH($B4,TCS!$B$16:$K$16,0))</f>
        <v>375</v>
      </c>
      <c r="G4" s="2">
        <f>INDEX(TCS!$B:$K,MATCH("Reserves",TCS!$A:$A,0),MATCH($B4,TCS!$B$16:$K$16,0))</f>
        <v>89071</v>
      </c>
      <c r="H4" s="2">
        <f t="shared" si="0"/>
        <v>89446</v>
      </c>
      <c r="I4" s="2">
        <f>INDEX(TCS!$B:$K,MATCH("Borrowings",TCS!$A:$A,0),MATCH($B4,TCS!$B$16:$K$16,0))</f>
        <v>62</v>
      </c>
      <c r="J4" s="18">
        <f>INDEX(TCS!$B:$K,MATCH("EPS",TCS!$A:$A,0),MATCH($B4,TCS!$B$16:$K$16,0))</f>
        <v>83.871655473830074</v>
      </c>
      <c r="K4" s="17">
        <f>INDEX(TCS!$B:$K,MATCH("Return on Equity",TCS!$A:$A,0),MATCH($B4,TCS!$B$16:$K$16,0))</f>
        <v>0.35185475035216779</v>
      </c>
      <c r="L4" s="21">
        <f>INDEX(TCS!$B:$K,MATCH("Return on Capital Emp",TCS!$A:$A,0),MATCH($B4,TCS!$B$16:$K$16,0))</f>
        <v>0.47758787303511491</v>
      </c>
      <c r="N4" s="19"/>
    </row>
    <row r="5" spans="1:14" x14ac:dyDescent="0.3">
      <c r="A5" s="2" t="s">
        <v>65</v>
      </c>
      <c r="B5" s="14">
        <v>43921</v>
      </c>
      <c r="C5" s="8">
        <f>INDEX(TCS!$B:$K,MATCH("Sales",TCS!$A:$A,0),MATCH($B5,TCS!$B$16:$K$16,0))</f>
        <v>156949</v>
      </c>
      <c r="D5" s="3">
        <f>INDEX(TCS!$B:$K,MATCH("Net profit",TCS!$A:$A,0),MATCH($B5,TCS!$B$16:$K$16,0))</f>
        <v>32340</v>
      </c>
      <c r="E5" s="2">
        <f>TCS!E66</f>
        <v>120127</v>
      </c>
      <c r="F5" s="2">
        <f>INDEX(TCS!$B:$K,MATCH("Equity Share Capital",TCS!$A:$A,0),MATCH($B5,TCS!$B$16:$K$16,0))</f>
        <v>375</v>
      </c>
      <c r="G5" s="2">
        <f>INDEX(TCS!$B:$K,MATCH("Reserves",TCS!$A:$A,0),MATCH($B5,TCS!$B$16:$K$16,0))</f>
        <v>83751</v>
      </c>
      <c r="H5" s="2">
        <f t="shared" si="0"/>
        <v>84126</v>
      </c>
      <c r="I5" s="2">
        <f>INDEX(TCS!$B:$K,MATCH("Borrowings",TCS!$A:$A,0),MATCH($B5,TCS!$B$16:$K$16,0))</f>
        <v>8174</v>
      </c>
      <c r="J5" s="18">
        <f>INDEX(TCS!$B:$K,MATCH("EPS",TCS!$A:$A,0),MATCH($B5,TCS!$B$16:$K$16,0))</f>
        <v>86.184841701311157</v>
      </c>
      <c r="K5" s="17">
        <f>INDEX(TCS!$B:$K,MATCH("Return on Equity",TCS!$A:$A,0),MATCH($B5,TCS!$B$16:$K$16,0))</f>
        <v>0.38442336495257112</v>
      </c>
      <c r="L5" s="21">
        <f>INDEX(TCS!$B:$K,MATCH("Return on Capital Emp",TCS!$A:$A,0),MATCH($B5,TCS!$B$16:$K$16,0))</f>
        <v>0.47491859544134474</v>
      </c>
      <c r="N5" s="19"/>
    </row>
    <row r="6" spans="1:14" x14ac:dyDescent="0.3">
      <c r="A6" s="2" t="s">
        <v>65</v>
      </c>
      <c r="B6" s="14">
        <v>44286</v>
      </c>
      <c r="C6" s="8">
        <f>INDEX(TCS!$B:$K,MATCH("Sales",TCS!$A:$A,0),MATCH($B6,TCS!$B$16:$K$16,0))</f>
        <v>164177</v>
      </c>
      <c r="D6" s="3">
        <f>INDEX(TCS!$B:$K,MATCH("Net profit",TCS!$A:$A,0),MATCH($B6,TCS!$B$16:$K$16,0))</f>
        <v>32430</v>
      </c>
      <c r="E6" s="2">
        <f>TCS!F66</f>
        <v>129992</v>
      </c>
      <c r="F6" s="2">
        <f>INDEX(TCS!$B:$K,MATCH("Equity Share Capital",TCS!$A:$A,0),MATCH($B6,TCS!$B$16:$K$16,0))</f>
        <v>370</v>
      </c>
      <c r="G6" s="2">
        <f>INDEX(TCS!$B:$K,MATCH("Reserves",TCS!$A:$A,0),MATCH($B6,TCS!$B$16:$K$16,0))</f>
        <v>86063</v>
      </c>
      <c r="H6" s="2">
        <f t="shared" si="0"/>
        <v>86433</v>
      </c>
      <c r="I6" s="2">
        <f>INDEX(TCS!$B:$K,MATCH("Borrowings",TCS!$A:$A,0),MATCH($B6,TCS!$B$16:$K$16,0))</f>
        <v>7795</v>
      </c>
      <c r="J6" s="18">
        <f>INDEX(TCS!$B:$K,MATCH("EPS",TCS!$A:$A,0),MATCH($B6,TCS!$B$16:$K$16,0))</f>
        <v>87.669973777405303</v>
      </c>
      <c r="K6" s="17">
        <f>INDEX(TCS!$B:$K,MATCH("Return on Equity",TCS!$A:$A,0),MATCH($B6,TCS!$B$16:$K$16,0))</f>
        <v>0.37520391517128876</v>
      </c>
      <c r="L6" s="21">
        <f>INDEX(TCS!$B:$K,MATCH("Return on Capital Emp",TCS!$A:$A,0),MATCH($B6,TCS!$B$16:$K$16,0))</f>
        <v>0.4760357694287185</v>
      </c>
      <c r="N6" s="19"/>
    </row>
    <row r="7" spans="1:14" x14ac:dyDescent="0.3">
      <c r="A7" s="2" t="s">
        <v>65</v>
      </c>
      <c r="B7" s="14">
        <v>44651</v>
      </c>
      <c r="C7" s="8">
        <f>INDEX(TCS!$B:$K,MATCH("Sales",TCS!$A:$A,0),MATCH($B7,TCS!$B$16:$K$16,0))</f>
        <v>191754</v>
      </c>
      <c r="D7" s="3">
        <f>INDEX(TCS!$B:$K,MATCH("Net profit",TCS!$A:$A,0),MATCH($B7,TCS!$B$16:$K$16,0))</f>
        <v>38327</v>
      </c>
      <c r="E7" s="2">
        <f>TCS!G66</f>
        <v>140924</v>
      </c>
      <c r="F7" s="2">
        <f>INDEX(TCS!$B:$K,MATCH("Equity Share Capital",TCS!$A:$A,0),MATCH($B7,TCS!$B$16:$K$16,0))</f>
        <v>366</v>
      </c>
      <c r="G7" s="2">
        <f>INDEX(TCS!$B:$K,MATCH("Reserves",TCS!$A:$A,0),MATCH($B7,TCS!$B$16:$K$16,0))</f>
        <v>88773</v>
      </c>
      <c r="H7" s="2">
        <f t="shared" si="0"/>
        <v>89139</v>
      </c>
      <c r="I7" s="2">
        <f>INDEX(TCS!$B:$K,MATCH("Borrowings",TCS!$A:$A,0),MATCH($B7,TCS!$B$16:$K$16,0))</f>
        <v>7818</v>
      </c>
      <c r="J7" s="18">
        <f>INDEX(TCS!$B:$K,MATCH("EPS",TCS!$A:$A,0),MATCH($B7,TCS!$B$16:$K$16,0))</f>
        <v>104.74433603891667</v>
      </c>
      <c r="K7" s="17">
        <f>INDEX(TCS!$B:$K,MATCH("Return on Equity",TCS!$A:$A,0),MATCH($B7,TCS!$B$16:$K$16,0))</f>
        <v>0.42996892493745725</v>
      </c>
      <c r="L7" s="21">
        <f>INDEX(TCS!$B:$K,MATCH("Return on Capital Emp",TCS!$A:$A,0),MATCH($B7,TCS!$B$16:$K$16,0))</f>
        <v>0.54890289510160317</v>
      </c>
      <c r="N7" s="19"/>
    </row>
    <row r="8" spans="1:14" x14ac:dyDescent="0.3">
      <c r="A8" s="2" t="s">
        <v>65</v>
      </c>
      <c r="B8" s="14">
        <v>45016</v>
      </c>
      <c r="C8" s="8">
        <f>INDEX(TCS!$B:$K,MATCH("Sales",TCS!$A:$A,0),MATCH($B8,TCS!$B$16:$K$16,0))</f>
        <v>225458</v>
      </c>
      <c r="D8" s="3">
        <f>INDEX(TCS!$B:$K,MATCH("Net profit",TCS!$A:$A,0),MATCH($B8,TCS!$B$16:$K$16,0))</f>
        <v>42147</v>
      </c>
      <c r="E8" s="2">
        <f>TCS!H66</f>
        <v>142859</v>
      </c>
      <c r="F8" s="2">
        <f>INDEX(TCS!$B:$K,MATCH("Equity Share Capital",TCS!$A:$A,0),MATCH($B8,TCS!$B$16:$K$16,0))</f>
        <v>366</v>
      </c>
      <c r="G8" s="2">
        <f>INDEX(TCS!$B:$K,MATCH("Reserves",TCS!$A:$A,0),MATCH($B8,TCS!$B$16:$K$16,0))</f>
        <v>90058</v>
      </c>
      <c r="H8" s="2">
        <f t="shared" si="0"/>
        <v>90424</v>
      </c>
      <c r="I8" s="2">
        <f>INDEX(TCS!$B:$K,MATCH("Borrowings",TCS!$A:$A,0),MATCH($B8,TCS!$B$16:$K$16,0))</f>
        <v>7688</v>
      </c>
      <c r="J8" s="18">
        <f>INDEX(TCS!$B:$K,MATCH("EPS",TCS!$A:$A,0),MATCH($B8,TCS!$B$16:$K$16,0))</f>
        <v>115.1840616545052</v>
      </c>
      <c r="K8" s="17">
        <f>INDEX(TCS!$B:$K,MATCH("Return on Equity",TCS!$A:$A,0),MATCH($B8,TCS!$B$16:$K$16,0))</f>
        <v>0.46610413164646552</v>
      </c>
      <c r="L8" s="21">
        <f>INDEX(TCS!$B:$K,MATCH("Return on Capital Emp",TCS!$A:$A,0),MATCH($B8,TCS!$B$16:$K$16,0))</f>
        <v>0.59144200257344837</v>
      </c>
      <c r="N8" s="19"/>
    </row>
    <row r="9" spans="1:14" x14ac:dyDescent="0.3">
      <c r="A9" s="2" t="s">
        <v>65</v>
      </c>
      <c r="B9" s="14">
        <v>45382</v>
      </c>
      <c r="C9" s="8">
        <f>INDEX(TCS!$B:$K,MATCH("Sales",TCS!$A:$A,0),MATCH($B9,TCS!$B$16:$K$16,0))</f>
        <v>240893</v>
      </c>
      <c r="D9" s="3">
        <f>INDEX(TCS!$B:$K,MATCH("Net profit",TCS!$A:$A,0),MATCH($B9,TCS!$B$16:$K$16,0))</f>
        <v>45908</v>
      </c>
      <c r="E9" s="2">
        <f>TCS!I66</f>
        <v>145472</v>
      </c>
      <c r="F9" s="2">
        <f>INDEX(TCS!$B:$K,MATCH("Equity Share Capital",TCS!$A:$A,0),MATCH($B9,TCS!$B$16:$K$16,0))</f>
        <v>362</v>
      </c>
      <c r="G9" s="2">
        <f>INDEX(TCS!$B:$K,MATCH("Reserves",TCS!$A:$A,0),MATCH($B9,TCS!$B$16:$K$16,0))</f>
        <v>90127</v>
      </c>
      <c r="H9" s="2">
        <f t="shared" si="0"/>
        <v>90489</v>
      </c>
      <c r="I9" s="2">
        <f>INDEX(TCS!$B:$K,MATCH("Borrowings",TCS!$A:$A,0),MATCH($B9,TCS!$B$16:$K$16,0))</f>
        <v>8021</v>
      </c>
      <c r="J9" s="18">
        <f>INDEX(TCS!$B:$K,MATCH("EPS",TCS!$A:$A,0),MATCH($B9,TCS!$B$16:$K$16,0))</f>
        <v>126.88427627760427</v>
      </c>
      <c r="K9" s="17">
        <f>INDEX(TCS!$B:$K,MATCH("Return on Equity",TCS!$A:$A,0),MATCH($B9,TCS!$B$16:$K$16,0))</f>
        <v>0.50733238294157301</v>
      </c>
      <c r="L9" s="21">
        <f>INDEX(TCS!$B:$K,MATCH("Return on Capital Emp",TCS!$A:$A,0),MATCH($B9,TCS!$B$16:$K$16,0))</f>
        <v>0.63853485367863205</v>
      </c>
      <c r="N9" s="19"/>
    </row>
    <row r="10" spans="1:14" x14ac:dyDescent="0.3">
      <c r="A10" s="2" t="s">
        <v>65</v>
      </c>
      <c r="B10" s="14">
        <v>45747</v>
      </c>
      <c r="C10" s="8">
        <f>INDEX(TCS!$B:$K,MATCH("Sales",TCS!$A:$A,0),MATCH($B10,TCS!$B$16:$K$16,0))</f>
        <v>255324</v>
      </c>
      <c r="D10" s="3">
        <f>INDEX(TCS!$B:$K,MATCH("Net profit",TCS!$A:$A,0),MATCH($B10,TCS!$B$16:$K$16,0))</f>
        <v>48553</v>
      </c>
      <c r="E10" s="2">
        <f>TCS!J66</f>
        <v>158649</v>
      </c>
      <c r="F10" s="2">
        <f>INDEX(TCS!$B:$K,MATCH("Equity Share Capital",TCS!$A:$A,0),MATCH($B10,TCS!$B$16:$K$16,0))</f>
        <v>362</v>
      </c>
      <c r="G10" s="2">
        <f>INDEX(TCS!$B:$K,MATCH("Reserves",TCS!$A:$A,0),MATCH($B10,TCS!$B$16:$K$16,0))</f>
        <v>94394</v>
      </c>
      <c r="H10" s="2">
        <f t="shared" si="0"/>
        <v>94756</v>
      </c>
      <c r="I10" s="2">
        <f>INDEX(TCS!$B:$K,MATCH("Borrowings",TCS!$A:$A,0),MATCH($B10,TCS!$B$16:$K$16,0))</f>
        <v>9392</v>
      </c>
      <c r="J10" s="18">
        <f>INDEX(TCS!$B:$K,MATCH("EPS",TCS!$A:$A,0),MATCH($B10,TCS!$B$16:$K$16,0))</f>
        <v>134.1947430972057</v>
      </c>
      <c r="K10" s="17">
        <f>INDEX(TCS!$B:$K,MATCH("Return on Equity",TCS!$A:$A,0),MATCH($B10,TCS!$B$16:$K$16,0))</f>
        <v>0.51240027016758838</v>
      </c>
      <c r="L10" s="21">
        <f>INDEX(TCS!$B:$K,MATCH("Return on Capital Emp",TCS!$A:$A,0),MATCH($B10,TCS!$B$16:$K$16,0))</f>
        <v>0.65259698605532468</v>
      </c>
      <c r="N10" s="19"/>
    </row>
    <row r="11" spans="1:14" x14ac:dyDescent="0.3">
      <c r="A11" s="2" t="s">
        <v>65</v>
      </c>
      <c r="B11" s="14">
        <v>46112</v>
      </c>
      <c r="C11" s="8">
        <f>INDEX(TCS!$B:$K,MATCH("Sales",TCS!$A:$A,0),MATCH($B11,TCS!$B$16:$K$16,0))</f>
        <v>267021</v>
      </c>
      <c r="D11" s="3">
        <f>INDEX(TCS!$B:$K,MATCH("Net profit",TCS!$A:$A,0),MATCH($B11,TCS!$B$16:$K$16,0))</f>
        <v>49210</v>
      </c>
      <c r="E11" s="2">
        <f>TCS!K66</f>
        <v>181167</v>
      </c>
      <c r="F11" s="2">
        <f>INDEX(TCS!$B:$K,MATCH("Equity Share Capital",TCS!$A:$A,0),MATCH($B11,TCS!$B$16:$K$16,0))</f>
        <v>362</v>
      </c>
      <c r="G11" s="2">
        <f>INDEX(TCS!$B:$K,MATCH("Reserves",TCS!$A:$A,0),MATCH($B11,TCS!$B$16:$K$16,0))</f>
        <v>106878</v>
      </c>
      <c r="H11" s="2">
        <f t="shared" si="0"/>
        <v>107240</v>
      </c>
      <c r="I11" s="2">
        <f>INDEX(TCS!$B:$K,MATCH("Borrowings",TCS!$A:$A,0),MATCH($B11,TCS!$B$16:$K$16,0))</f>
        <v>11283</v>
      </c>
      <c r="J11" s="18">
        <f>INDEX(TCS!$B:$K,MATCH("EPS",TCS!$A:$A,0),MATCH($B11,TCS!$B$16:$K$16,0))</f>
        <v>136.01061330532599</v>
      </c>
      <c r="K11" s="17">
        <f>INDEX(TCS!$B:$K,MATCH("Return on Equity",TCS!$A:$A,0),MATCH($B11,TCS!$B$16:$K$16,0))</f>
        <v>0.45887728459530025</v>
      </c>
      <c r="L11" s="21">
        <f>INDEX(TCS!$B:$K,MATCH("Return on Capital Emp",TCS!$A:$A,0),MATCH($B11,TCS!$B$16:$K$16,0))</f>
        <v>0.59921588352322486</v>
      </c>
      <c r="N11" s="19"/>
    </row>
    <row r="12" spans="1:14" x14ac:dyDescent="0.3">
      <c r="A12" s="2" t="s">
        <v>68</v>
      </c>
      <c r="B12" s="14">
        <v>42825</v>
      </c>
      <c r="C12" s="8">
        <f>INDEX(Infosys!$B:$K,MATCH("Sales",Infosys!$A:$A,0),MATCH($B2,Infosys!$B$16:$K$16,0))</f>
        <v>68484</v>
      </c>
      <c r="D12" s="2">
        <f>INDEX(Infosys!$B:$K,MATCH("Net profit",Infosys!$A:$A,0),MATCH($B2,Infosys!$B$16:$K$16,0))</f>
        <v>14353</v>
      </c>
      <c r="E12" s="2">
        <f>Infosys!B66</f>
        <v>83148</v>
      </c>
      <c r="F12" s="2">
        <f>INDEX(Infosys!$B:$K,MATCH("Equity Share Capital",Infosys!$A:$A,0),MATCH($B2,Infosys!$B$16:$K$16,0))</f>
        <v>1144</v>
      </c>
      <c r="G12" s="2">
        <f>INDEX(Infosys!$B:$K,MATCH("Reserves",Infosys!$A:$A,0),MATCH($B2,Infosys!$B$16:$K$16,0))</f>
        <v>67838</v>
      </c>
      <c r="H12" s="2">
        <f t="shared" ref="H12:H21" si="1">F12+G12</f>
        <v>68982</v>
      </c>
      <c r="I12" s="27"/>
      <c r="J12" s="20">
        <f>INDEX(Infosys!$B:$K,MATCH("EPS",Infosys!$A:$A,0),MATCH($B2,Infosys!$B$16:$K$16,0))</f>
        <v>31.243605650971944</v>
      </c>
      <c r="K12" s="21">
        <f>INDEX(Infosys!$B:$K,MATCH("Return on Equity",Infosys!$A:$A,0),MATCH($B2,Infosys!$B$16:$K$16,0))</f>
        <v>0.20806877156359629</v>
      </c>
      <c r="L12" s="27"/>
    </row>
    <row r="13" spans="1:14" x14ac:dyDescent="0.3">
      <c r="A13" s="2" t="s">
        <v>68</v>
      </c>
      <c r="B13" s="14">
        <v>43190</v>
      </c>
      <c r="C13" s="8">
        <f>INDEX(Infosys!$B:$K,MATCH("Sales",Infosys!$A:$A,0),MATCH($B3,Infosys!$B$16:$K$16,0))</f>
        <v>70522</v>
      </c>
      <c r="D13" s="2">
        <f>INDEX(Infosys!$B:$K,MATCH("Net profit",Infosys!$A:$A,0),MATCH($B3,Infosys!$B$16:$K$16,0))</f>
        <v>16029</v>
      </c>
      <c r="E13" s="2">
        <f>Infosys!C66</f>
        <v>79349</v>
      </c>
      <c r="F13" s="2">
        <f>INDEX(Infosys!$B:$K,MATCH("Equity Share Capital",Infosys!$A:$A,0),MATCH($B3,Infosys!$B$16:$K$16,0))</f>
        <v>1088</v>
      </c>
      <c r="G13" s="2">
        <f>INDEX(Infosys!$B:$K,MATCH("Reserves",Infosys!$A:$A,0),MATCH($B3,Infosys!$B$16:$K$16,0))</f>
        <v>63835</v>
      </c>
      <c r="H13" s="2">
        <f t="shared" si="1"/>
        <v>64923</v>
      </c>
      <c r="I13" s="27"/>
      <c r="J13" s="20">
        <f>INDEX(Infosys!$B:$K,MATCH("EPS",Infosys!$A:$A,0),MATCH($B3,Infosys!$B$16:$K$16,0))</f>
        <v>36.694748408955633</v>
      </c>
      <c r="K13" s="21">
        <f>INDEX(Infosys!$B:$K,MATCH("Return on Equity",Infosys!$A:$A,0),MATCH($B3,Infosys!$B$16:$K$16,0))</f>
        <v>0.24689247262141306</v>
      </c>
      <c r="L13" s="21">
        <f>INDEX(Infosys!$B:$K,MATCH("Return on Capital Emp",Infosys!$A:$A,0),MATCH($B3,Infosys!$B$16:$K$16,0))</f>
        <v>0.30275195101004443</v>
      </c>
    </row>
    <row r="14" spans="1:14" x14ac:dyDescent="0.3">
      <c r="A14" s="2" t="s">
        <v>68</v>
      </c>
      <c r="B14" s="14">
        <v>43555</v>
      </c>
      <c r="C14" s="8">
        <f>INDEX(Infosys!$B:$K,MATCH("Sales",Infosys!$A:$A,0),MATCH($B4,Infosys!$B$16:$K$16,0))</f>
        <v>82675</v>
      </c>
      <c r="D14" s="2">
        <f>INDEX(Infosys!$B:$K,MATCH("Net profit",Infosys!$A:$A,0),MATCH($B4,Infosys!$B$16:$K$16,0))</f>
        <v>15404</v>
      </c>
      <c r="E14" s="2">
        <f>Infosys!D66</f>
        <v>84066</v>
      </c>
      <c r="F14" s="2">
        <f>INDEX(Infosys!$B:$K,MATCH("Equity Share Capital",Infosys!$A:$A,0),MATCH($B4,Infosys!$B$16:$K$16,0))</f>
        <v>2170</v>
      </c>
      <c r="G14" s="2">
        <f>INDEX(Infosys!$B:$K,MATCH("Reserves",Infosys!$A:$A,0),MATCH($B4,Infosys!$B$16:$K$16,0))</f>
        <v>62778</v>
      </c>
      <c r="H14" s="2">
        <f t="shared" si="1"/>
        <v>64948</v>
      </c>
      <c r="I14" s="27"/>
      <c r="J14" s="20">
        <f>INDEX(Infosys!$B:$K,MATCH("EPS",Infosys!$A:$A,0),MATCH($B4,Infosys!$B$16:$K$16,0))</f>
        <v>35.258303005333154</v>
      </c>
      <c r="K14" s="21">
        <f>INDEX(Infosys!$B:$K,MATCH("Return on Equity",Infosys!$A:$A,0),MATCH($B4,Infosys!$B$16:$K$16,0))</f>
        <v>0.23717435486851018</v>
      </c>
      <c r="L14" s="21">
        <f>INDEX(Infosys!$B:$K,MATCH("Return on Capital Emp",Infosys!$A:$A,0),MATCH($B4,Infosys!$B$16:$K$16,0))</f>
        <v>0.3240292290041657</v>
      </c>
    </row>
    <row r="15" spans="1:14" x14ac:dyDescent="0.3">
      <c r="A15" s="2" t="s">
        <v>68</v>
      </c>
      <c r="B15" s="14">
        <v>43921</v>
      </c>
      <c r="C15" s="8">
        <f>INDEX(Infosys!$B:$K,MATCH("Sales",Infosys!$A:$A,0),MATCH($B5,Infosys!$B$16:$K$16,0))</f>
        <v>90791</v>
      </c>
      <c r="D15" s="2">
        <f>INDEX(Infosys!$B:$K,MATCH("Net profit",Infosys!$A:$A,0),MATCH($B5,Infosys!$B$16:$K$16,0))</f>
        <v>16594</v>
      </c>
      <c r="E15" s="2">
        <f>Infosys!E66</f>
        <v>91800</v>
      </c>
      <c r="F15" s="2">
        <f>INDEX(Infosys!$B:$K,MATCH("Equity Share Capital",Infosys!$A:$A,0),MATCH($B5,Infosys!$B$16:$K$16,0))</f>
        <v>2122</v>
      </c>
      <c r="G15" s="2">
        <f>INDEX(Infosys!$B:$K,MATCH("Reserves",Infosys!$A:$A,0),MATCH($B5,Infosys!$B$16:$K$16,0))</f>
        <v>63328</v>
      </c>
      <c r="H15" s="2">
        <f t="shared" si="1"/>
        <v>65450</v>
      </c>
      <c r="I15" s="2">
        <f>INDEX(Infosys!$B:$K,MATCH("Borrowings",Infosys!$A:$A,0),MATCH($B5,Infosys!$B$16:$K$16,0))</f>
        <v>4633</v>
      </c>
      <c r="J15" s="20">
        <f>INDEX(Infosys!$B:$K,MATCH("EPS",Infosys!$A:$A,0),MATCH($B5,Infosys!$B$16:$K$16,0))</f>
        <v>38.962197698990373</v>
      </c>
      <c r="K15" s="21">
        <f>INDEX(Infosys!$B:$K,MATCH("Return on Equity",Infosys!$A:$A,0),MATCH($B5,Infosys!$B$16:$K$16,0))</f>
        <v>0.25353705118411002</v>
      </c>
      <c r="L15" s="21">
        <f>INDEX(Infosys!$B:$K,MATCH("Return on Capital Emp",Infosys!$A:$A,0),MATCH($B5,Infosys!$B$16:$K$16,0))</f>
        <v>0.32847272107886338</v>
      </c>
    </row>
    <row r="16" spans="1:14" x14ac:dyDescent="0.3">
      <c r="A16" s="2" t="s">
        <v>68</v>
      </c>
      <c r="B16" s="14">
        <v>44286</v>
      </c>
      <c r="C16" s="8">
        <f>INDEX(Infosys!$B:$K,MATCH("Sales",Infosys!$A:$A,0),MATCH($B6,Infosys!$B$16:$K$16,0))</f>
        <v>100472</v>
      </c>
      <c r="D16" s="2">
        <f>INDEX(Infosys!$B:$K,MATCH("Net profit",Infosys!$A:$A,0),MATCH($B6,Infosys!$B$16:$K$16,0))</f>
        <v>19351</v>
      </c>
      <c r="E16" s="2">
        <f>Infosys!F66</f>
        <v>107511</v>
      </c>
      <c r="F16" s="2">
        <f>INDEX(Infosys!$B:$K,MATCH("Equity Share Capital",Infosys!$A:$A,0),MATCH($B6,Infosys!$B$16:$K$16,0))</f>
        <v>2124</v>
      </c>
      <c r="G16" s="2">
        <f>INDEX(Infosys!$B:$K,MATCH("Reserves",Infosys!$A:$A,0),MATCH($B6,Infosys!$B$16:$K$16,0))</f>
        <v>74227</v>
      </c>
      <c r="H16" s="2">
        <f t="shared" si="1"/>
        <v>76351</v>
      </c>
      <c r="I16" s="2">
        <f>INDEX(Infosys!$B:$K,MATCH("Borrowings",Infosys!$A:$A,0),MATCH($B6,Infosys!$B$16:$K$16,0))</f>
        <v>5325</v>
      </c>
      <c r="J16" s="20">
        <f>INDEX(Infosys!$B:$K,MATCH("EPS",Infosys!$A:$A,0),MATCH($B6,Infosys!$B$16:$K$16,0))</f>
        <v>45.417419672823712</v>
      </c>
      <c r="K16" s="21">
        <f>INDEX(Infosys!$B:$K,MATCH("Return on Equity",Infosys!$A:$A,0),MATCH($B6,Infosys!$B$16:$K$16,0))</f>
        <v>0.2534478919726002</v>
      </c>
      <c r="L16" s="21">
        <f>INDEX(Infosys!$B:$K,MATCH("Return on Capital Emp",Infosys!$A:$A,0),MATCH($B6,Infosys!$B$16:$K$16,0))</f>
        <v>0.3534946856529102</v>
      </c>
    </row>
    <row r="17" spans="1:22" x14ac:dyDescent="0.3">
      <c r="A17" s="2" t="s">
        <v>68</v>
      </c>
      <c r="B17" s="14">
        <v>44651</v>
      </c>
      <c r="C17" s="8">
        <f>INDEX(Infosys!$B:$K,MATCH("Sales",Infosys!$A:$A,0),MATCH($B7,Infosys!$B$16:$K$16,0))</f>
        <v>121641</v>
      </c>
      <c r="D17" s="2">
        <f>INDEX(Infosys!$B:$K,MATCH("Net profit",Infosys!$A:$A,0),MATCH($B7,Infosys!$B$16:$K$16,0))</f>
        <v>22110</v>
      </c>
      <c r="E17" s="2">
        <f>Infosys!G66</f>
        <v>116729</v>
      </c>
      <c r="F17" s="2">
        <f>INDEX(Infosys!$B:$K,MATCH("Equity Share Capital",Infosys!$A:$A,0),MATCH($B7,Infosys!$B$16:$K$16,0))</f>
        <v>2098</v>
      </c>
      <c r="G17" s="2">
        <f>INDEX(Infosys!$B:$K,MATCH("Reserves",Infosys!$A:$A,0),MATCH($B7,Infosys!$B$16:$K$16,0))</f>
        <v>73252</v>
      </c>
      <c r="H17" s="2">
        <f t="shared" si="1"/>
        <v>75350</v>
      </c>
      <c r="I17" s="2">
        <f>INDEX(Infosys!$B:$K,MATCH("Borrowings",Infosys!$A:$A,0),MATCH($B7,Infosys!$B$16:$K$16,0))</f>
        <v>5474</v>
      </c>
      <c r="J17" s="20">
        <f>INDEX(Infosys!$B:$K,MATCH("EPS",Infosys!$A:$A,0),MATCH($B7,Infosys!$B$16:$K$16,0))</f>
        <v>52.559013003066532</v>
      </c>
      <c r="K17" s="21">
        <f>INDEX(Infosys!$B:$K,MATCH("Return on Equity",Infosys!$A:$A,0),MATCH($B7,Infosys!$B$16:$K$16,0))</f>
        <v>0.29343065693430659</v>
      </c>
      <c r="L17" s="21">
        <f>INDEX(Infosys!$B:$K,MATCH("Return on Capital Emp",Infosys!$A:$A,0),MATCH($B7,Infosys!$B$16:$K$16,0))</f>
        <v>0.37304615384615386</v>
      </c>
    </row>
    <row r="18" spans="1:22" x14ac:dyDescent="0.3">
      <c r="A18" s="2" t="s">
        <v>68</v>
      </c>
      <c r="B18" s="14">
        <v>45016</v>
      </c>
      <c r="C18" s="8">
        <f>INDEX(Infosys!$B:$K,MATCH("Sales",Infosys!$A:$A,0),MATCH($B8,Infosys!$B$16:$K$16,0))</f>
        <v>146767</v>
      </c>
      <c r="D18" s="2">
        <f>INDEX(Infosys!$B:$K,MATCH("Net profit",Infosys!$A:$A,0),MATCH($B8,Infosys!$B$16:$K$16,0))</f>
        <v>24095</v>
      </c>
      <c r="E18" s="2">
        <f>Infosys!H66</f>
        <v>124596</v>
      </c>
      <c r="F18" s="2">
        <f>INDEX(Infosys!$B:$K,MATCH("Equity Share Capital",Infosys!$A:$A,0),MATCH($B8,Infosys!$B$16:$K$16,0))</f>
        <v>2069</v>
      </c>
      <c r="G18" s="2">
        <f>INDEX(Infosys!$B:$K,MATCH("Reserves",Infosys!$A:$A,0),MATCH($B8,Infosys!$B$16:$K$16,0))</f>
        <v>73338</v>
      </c>
      <c r="H18" s="2">
        <f t="shared" si="1"/>
        <v>75407</v>
      </c>
      <c r="I18" s="2">
        <f>INDEX(Infosys!$B:$K,MATCH("Borrowings",Infosys!$A:$A,0),MATCH($B8,Infosys!$B$16:$K$16,0))</f>
        <v>8299</v>
      </c>
      <c r="J18" s="20">
        <f>INDEX(Infosys!$B:$K,MATCH("EPS",Infosys!$A:$A,0),MATCH($B8,Infosys!$B$16:$K$16,0))</f>
        <v>58.079834160921756</v>
      </c>
      <c r="K18" s="21">
        <f>INDEX(Infosys!$B:$K,MATCH("Return on Equity",Infosys!$A:$A,0),MATCH($B8,Infosys!$B$16:$K$16,0))</f>
        <v>0.31953266938082669</v>
      </c>
      <c r="L18" s="21">
        <f>INDEX(Infosys!$B:$K,MATCH("Return on Capital Emp",Infosys!$A:$A,0),MATCH($B8,Infosys!$B$16:$K$16,0))</f>
        <v>0.40850908648878625</v>
      </c>
    </row>
    <row r="19" spans="1:22" x14ac:dyDescent="0.3">
      <c r="A19" s="2" t="s">
        <v>68</v>
      </c>
      <c r="B19" s="14">
        <v>45382</v>
      </c>
      <c r="C19" s="8">
        <f>INDEX(Infosys!$B:$K,MATCH("Sales",Infosys!$A:$A,0),MATCH($B9,Infosys!$B$16:$K$16,0))</f>
        <v>153670</v>
      </c>
      <c r="D19" s="2">
        <f>INDEX(Infosys!$B:$K,MATCH("Net profit",Infosys!$A:$A,0),MATCH($B9,Infosys!$B$16:$K$16,0))</f>
        <v>26233</v>
      </c>
      <c r="E19" s="2">
        <f>Infosys!I66</f>
        <v>136020</v>
      </c>
      <c r="F19" s="2">
        <f>INDEX(Infosys!$B:$K,MATCH("Equity Share Capital",Infosys!$A:$A,0),MATCH($B9,Infosys!$B$16:$K$16,0))</f>
        <v>2071</v>
      </c>
      <c r="G19" s="2">
        <f>INDEX(Infosys!$B:$K,MATCH("Reserves",Infosys!$A:$A,0),MATCH($B9,Infosys!$B$16:$K$16,0))</f>
        <v>86045</v>
      </c>
      <c r="H19" s="2">
        <f t="shared" si="1"/>
        <v>88116</v>
      </c>
      <c r="I19" s="2">
        <f>INDEX(Infosys!$B:$K,MATCH("Borrowings",Infosys!$A:$A,0),MATCH($B9,Infosys!$B$16:$K$16,0))</f>
        <v>8359</v>
      </c>
      <c r="J19" s="20">
        <f>INDEX(Infosys!$B:$K,MATCH("EPS",Infosys!$A:$A,0),MATCH($B9,Infosys!$B$16:$K$16,0))</f>
        <v>63.198342528126432</v>
      </c>
      <c r="K19" s="21">
        <f>INDEX(Infosys!$B:$K,MATCH("Return on Equity",Infosys!$A:$A,0),MATCH($B9,Infosys!$B$16:$K$16,0))</f>
        <v>0.29770983703300197</v>
      </c>
      <c r="L19" s="21">
        <f>INDEX(Infosys!$B:$K,MATCH("Return on Capital Emp",Infosys!$A:$A,0),MATCH($B9,Infosys!$B$16:$K$16,0))</f>
        <v>0.40468195869708795</v>
      </c>
    </row>
    <row r="20" spans="1:22" x14ac:dyDescent="0.3">
      <c r="A20" s="2" t="s">
        <v>68</v>
      </c>
      <c r="B20" s="14">
        <v>45747</v>
      </c>
      <c r="C20" s="8">
        <f>INDEX(Infosys!$B:$K,MATCH("Sales",Infosys!$A:$A,0),MATCH($B10,Infosys!$B$16:$K$16,0))</f>
        <v>162990</v>
      </c>
      <c r="D20" s="2">
        <f>INDEX(Infosys!$B:$K,MATCH("Net profit",Infosys!$A:$A,0),MATCH($B10,Infosys!$B$16:$K$16,0))</f>
        <v>26713</v>
      </c>
      <c r="E20" s="2">
        <f>Infosys!J66</f>
        <v>147795</v>
      </c>
      <c r="F20" s="2">
        <f>INDEX(Infosys!$B:$K,MATCH("Equity Share Capital",Infosys!$A:$A,0),MATCH($B10,Infosys!$B$16:$K$16,0))</f>
        <v>2073</v>
      </c>
      <c r="G20" s="2">
        <f>INDEX(Infosys!$B:$K,MATCH("Reserves",Infosys!$A:$A,0),MATCH($B10,Infosys!$B$16:$K$16,0))</f>
        <v>93745</v>
      </c>
      <c r="H20" s="2">
        <f t="shared" si="1"/>
        <v>95818</v>
      </c>
      <c r="I20" s="2">
        <f>INDEX(Infosys!$B:$K,MATCH("Borrowings",Infosys!$A:$A,0),MATCH($B10,Infosys!$B$16:$K$16,0))</f>
        <v>8227</v>
      </c>
      <c r="J20" s="20">
        <f>INDEX(Infosys!$B:$K,MATCH("EPS",Infosys!$A:$A,0),MATCH($B10,Infosys!$B$16:$K$16,0))</f>
        <v>64.317530638287636</v>
      </c>
      <c r="K20" s="21">
        <f>INDEX(Infosys!$B:$K,MATCH("Return on Equity",Infosys!$A:$A,0),MATCH($B10,Infosys!$B$16:$K$16,0))</f>
        <v>0.27878895405873633</v>
      </c>
      <c r="L20" s="21">
        <f>INDEX(Infosys!$B:$K,MATCH("Return on Capital Emp",Infosys!$A:$A,0),MATCH($B10,Infosys!$B$16:$K$16,0))</f>
        <v>0.37925393975663274</v>
      </c>
    </row>
    <row r="21" spans="1:22" x14ac:dyDescent="0.3">
      <c r="A21" s="2" t="s">
        <v>68</v>
      </c>
      <c r="B21" s="14">
        <v>46112</v>
      </c>
      <c r="C21" s="8">
        <f>INDEX(Infosys!$B:$K,MATCH("Sales",Infosys!$A:$A,0),MATCH($B11,Infosys!$B$16:$K$16,0))</f>
        <v>178650</v>
      </c>
      <c r="D21" s="2">
        <f>INDEX(Infosys!$B:$K,MATCH("Net profit",Infosys!$A:$A,0),MATCH($B11,Infosys!$B$16:$K$16,0))</f>
        <v>29440</v>
      </c>
      <c r="E21" s="2">
        <f>Infosys!K66</f>
        <v>154288</v>
      </c>
      <c r="F21" s="2">
        <f>INDEX(Infosys!$B:$K,MATCH("Equity Share Capital",Infosys!$A:$A,0),MATCH($B11,Infosys!$B$16:$K$16,0))</f>
        <v>2024</v>
      </c>
      <c r="G21" s="2">
        <f>INDEX(Infosys!$B:$K,MATCH("Reserves",Infosys!$A:$A,0),MATCH($B11,Infosys!$B$16:$K$16,0))</f>
        <v>90828</v>
      </c>
      <c r="H21" s="2">
        <f t="shared" si="1"/>
        <v>92852</v>
      </c>
      <c r="I21" s="2">
        <f>INDEX(Infosys!$B:$K,MATCH("Borrowings",Infosys!$A:$A,0),MATCH($B11,Infosys!$B$16:$K$16,0))</f>
        <v>9176</v>
      </c>
      <c r="J21" s="20">
        <f>INDEX(Infosys!$B:$K,MATCH("EPS",Infosys!$A:$A,0),MATCH($B11,Infosys!$B$16:$K$16,0))</f>
        <v>72.590985304270632</v>
      </c>
      <c r="K21" s="21">
        <f>INDEX(Infosys!$B:$K,MATCH("Return on Equity",Infosys!$A:$A,0),MATCH($B11,Infosys!$B$16:$K$16,0))</f>
        <v>0.31706371429802266</v>
      </c>
      <c r="L21" s="21">
        <f>INDEX(Infosys!$B:$K,MATCH("Return on Capital Emp",Infosys!$A:$A,0),MATCH($B11,Infosys!$B$16:$K$16,0))</f>
        <v>0.39220082203879209</v>
      </c>
    </row>
    <row r="22" spans="1:22" x14ac:dyDescent="0.3">
      <c r="A22" s="2" t="s">
        <v>69</v>
      </c>
      <c r="B22" s="14">
        <v>42825</v>
      </c>
      <c r="C22" s="8">
        <f>INDEX(HCLTech!$B:$K,MATCH("Sales",HCLTech!$A:$A,0),MATCH($B2,HCLTech!$B$16:$K$16,0))</f>
        <v>47568</v>
      </c>
      <c r="D22" s="2">
        <f>INDEX(HCLTech!$B:$K,MATCH("Net profit",HCLTech!$A:$A,0),MATCH($B2,HCLTech!$B$16:$K$16,0))</f>
        <v>8606</v>
      </c>
      <c r="E22" s="2">
        <f>HCLTech!B66</f>
        <v>45762</v>
      </c>
      <c r="F22" s="2">
        <f>INDEX(HCLTech!$B:$K,MATCH("Equity Share Capital",HCLTech!$A:$A,0),MATCH($B2,HCLTech!$B$16:$K$16,0))</f>
        <v>285</v>
      </c>
      <c r="G22" s="2">
        <f>INDEX(HCLTech!$B:$K,MATCH("Reserves",HCLTech!$A:$A,0),MATCH($B2,HCLTech!$B$16:$K$16,0))</f>
        <v>32664</v>
      </c>
      <c r="H22" s="2">
        <f t="shared" ref="H22:H31" si="2">F22+G22</f>
        <v>32949</v>
      </c>
      <c r="I22" s="2">
        <f>INDEX(HCLTech!$B:$K,MATCH("Borrowings",HCLTech!$A:$A,0),MATCH($B2,HCLTech!$B$16:$K$16,0))</f>
        <v>582</v>
      </c>
      <c r="J22" s="20">
        <f>INDEX(HCLTech!$B:$K,MATCH("EPS",HCLTech!$A:$A,0),MATCH($B2,HCLTech!$B$16:$K$16,0))</f>
        <v>30.158396411550321</v>
      </c>
      <c r="K22" s="21">
        <f>INDEX(HCLTech!$B:$K,MATCH("Return on Equity",HCLTech!$A:$A,0),MATCH($B2,HCLTech!$B$16:$K$16,0))</f>
        <v>0.26119153843819237</v>
      </c>
      <c r="L22" s="27"/>
    </row>
    <row r="23" spans="1:22" x14ac:dyDescent="0.3">
      <c r="A23" s="2" t="s">
        <v>69</v>
      </c>
      <c r="B23" s="14">
        <v>43190</v>
      </c>
      <c r="C23" s="8">
        <f>INDEX(HCLTech!$B:$K,MATCH("Sales",HCLTech!$A:$A,0),MATCH($B3,HCLTech!$B$16:$K$16,0))</f>
        <v>50569</v>
      </c>
      <c r="D23" s="2">
        <f>INDEX(HCLTech!$B:$K,MATCH("Net profit",HCLTech!$A:$A,0),MATCH($B3,HCLTech!$B$16:$K$16,0))</f>
        <v>8721</v>
      </c>
      <c r="E23" s="2">
        <f>HCLTech!C66</f>
        <v>47989</v>
      </c>
      <c r="F23" s="2">
        <f>INDEX(HCLTech!$B:$K,MATCH("Equity Share Capital",HCLTech!$A:$A,0),MATCH($B3,HCLTech!$B$16:$K$16,0))</f>
        <v>278</v>
      </c>
      <c r="G23" s="2">
        <f>INDEX(HCLTech!$B:$K,MATCH("Reserves",HCLTech!$A:$A,0),MATCH($B3,HCLTech!$B$16:$K$16,0))</f>
        <v>36108</v>
      </c>
      <c r="H23" s="2">
        <f t="shared" si="2"/>
        <v>36386</v>
      </c>
      <c r="I23" s="2">
        <f>INDEX(HCLTech!$B:$K,MATCH("Borrowings",HCLTech!$A:$A,0),MATCH($B3,HCLTech!$B$16:$K$16,0))</f>
        <v>557</v>
      </c>
      <c r="J23" s="20">
        <f>INDEX(HCLTech!$B:$K,MATCH("EPS",HCLTech!$A:$A,0),MATCH($B3,HCLTech!$B$16:$K$16,0))</f>
        <v>31.319806069312264</v>
      </c>
      <c r="K23" s="21">
        <f>INDEX(HCLTech!$B:$K,MATCH("Return on Equity",HCLTech!$A:$A,0),MATCH($B3,HCLTech!$B$16:$K$16,0))</f>
        <v>0.23968009674050458</v>
      </c>
      <c r="L23" s="21">
        <f>INDEX(HCLTech!$B:$K,MATCH("Return on Capital Emp",HCLTech!$A:$A,0),MATCH($B3,HCLTech!$B$16:$K$16,0))</f>
        <v>0.31481113602179528</v>
      </c>
    </row>
    <row r="24" spans="1:22" x14ac:dyDescent="0.3">
      <c r="A24" s="2" t="s">
        <v>69</v>
      </c>
      <c r="B24" s="14">
        <v>43555</v>
      </c>
      <c r="C24" s="8">
        <f>INDEX(HCLTech!$B:$K,MATCH("Sales",HCLTech!$A:$A,0),MATCH($B4,HCLTech!$B$16:$K$16,0))</f>
        <v>60427</v>
      </c>
      <c r="D24" s="2">
        <f>INDEX(HCLTech!$B:$K,MATCH("Net profit",HCLTech!$A:$A,0),MATCH($B4,HCLTech!$B$16:$K$16,0))</f>
        <v>10120</v>
      </c>
      <c r="E24" s="2">
        <f>HCLTech!D66</f>
        <v>58349</v>
      </c>
      <c r="F24" s="2">
        <f>INDEX(HCLTech!$B:$K,MATCH("Equity Share Capital",HCLTech!$A:$A,0),MATCH($B4,HCLTech!$B$16:$K$16,0))</f>
        <v>271</v>
      </c>
      <c r="G24" s="2">
        <f>INDEX(HCLTech!$B:$K,MATCH("Reserves",HCLTech!$A:$A,0),MATCH($B4,HCLTech!$B$16:$K$16,0))</f>
        <v>41095</v>
      </c>
      <c r="H24" s="2">
        <f t="shared" si="2"/>
        <v>41366</v>
      </c>
      <c r="I24" s="2">
        <f>INDEX(HCLTech!$B:$K,MATCH("Borrowings",HCLTech!$A:$A,0),MATCH($B4,HCLTech!$B$16:$K$16,0))</f>
        <v>4195</v>
      </c>
      <c r="J24" s="20">
        <f>INDEX(HCLTech!$B:$K,MATCH("EPS",HCLTech!$A:$A,0),MATCH($B4,HCLTech!$B$16:$K$16,0))</f>
        <v>37.307380373073805</v>
      </c>
      <c r="K24" s="21">
        <f>INDEX(HCLTech!$B:$K,MATCH("Return on Equity",HCLTech!$A:$A,0),MATCH($B4,HCLTech!$B$16:$K$16,0))</f>
        <v>0.2446453609244307</v>
      </c>
      <c r="L24" s="21">
        <f>INDEX(HCLTech!$B:$K,MATCH("Return on Capital Emp",HCLTech!$A:$A,0),MATCH($B4,HCLTech!$B$16:$K$16,0))</f>
        <v>0.31019102104140406</v>
      </c>
    </row>
    <row r="25" spans="1:22" x14ac:dyDescent="0.3">
      <c r="A25" s="2" t="s">
        <v>69</v>
      </c>
      <c r="B25" s="14">
        <v>43921</v>
      </c>
      <c r="C25" s="8">
        <f>INDEX(HCLTech!$B:$K,MATCH("Sales",HCLTech!$A:$A,0),MATCH($B5,HCLTech!$B$16:$K$16,0))</f>
        <v>70676</v>
      </c>
      <c r="D25" s="2">
        <f>INDEX(HCLTech!$B:$K,MATCH("Net profit",HCLTech!$A:$A,0),MATCH($B5,HCLTech!$B$16:$K$16,0))</f>
        <v>11057</v>
      </c>
      <c r="E25" s="2">
        <f>HCLTech!E66</f>
        <v>82819</v>
      </c>
      <c r="F25" s="2">
        <f>INDEX(HCLTech!$B:$K,MATCH("Equity Share Capital",HCLTech!$A:$A,0),MATCH($B5,HCLTech!$B$16:$K$16,0))</f>
        <v>543</v>
      </c>
      <c r="G25" s="2">
        <f>INDEX(HCLTech!$B:$K,MATCH("Reserves",HCLTech!$A:$A,0),MATCH($B5,HCLTech!$B$16:$K$16,0))</f>
        <v>50724</v>
      </c>
      <c r="H25" s="2">
        <f t="shared" si="2"/>
        <v>51267</v>
      </c>
      <c r="I25" s="2">
        <f>INDEX(HCLTech!$B:$K,MATCH("Borrowings",HCLTech!$A:$A,0),MATCH($B5,HCLTech!$B$16:$K$16,0))</f>
        <v>7986</v>
      </c>
      <c r="J25" s="20">
        <f>INDEX(HCLTech!$B:$K,MATCH("EPS",HCLTech!$A:$A,0),MATCH($B5,HCLTech!$B$16:$K$16,0))</f>
        <v>40.745108154917638</v>
      </c>
      <c r="K25" s="21">
        <f>INDEX(HCLTech!$B:$K,MATCH("Return on Equity",HCLTech!$A:$A,0),MATCH($B5,HCLTech!$B$16:$K$16,0))</f>
        <v>0.2156748005539626</v>
      </c>
      <c r="L25" s="21">
        <f>INDEX(HCLTech!$B:$K,MATCH("Return on Capital Emp",HCLTech!$A:$A,0),MATCH($B5,HCLTech!$B$16:$K$16,0))</f>
        <v>0.27639437479725992</v>
      </c>
    </row>
    <row r="26" spans="1:22" x14ac:dyDescent="0.3">
      <c r="A26" s="2" t="s">
        <v>69</v>
      </c>
      <c r="B26" s="14">
        <v>44286</v>
      </c>
      <c r="C26" s="8">
        <f>INDEX(HCLTech!$B:$K,MATCH("Sales",HCLTech!$A:$A,0),MATCH($B6,HCLTech!$B$16:$K$16,0))</f>
        <v>75379</v>
      </c>
      <c r="D26" s="2">
        <f>INDEX(HCLTech!$B:$K,MATCH("Net profit",HCLTech!$A:$A,0),MATCH($B6,HCLTech!$B$16:$K$16,0))</f>
        <v>11145</v>
      </c>
      <c r="E26" s="2">
        <f>HCLTech!F66</f>
        <v>86047</v>
      </c>
      <c r="F26" s="2">
        <f>INDEX(HCLTech!$B:$K,MATCH("Equity Share Capital",HCLTech!$A:$A,0),MATCH($B6,HCLTech!$B$16:$K$16,0))</f>
        <v>543</v>
      </c>
      <c r="G26" s="2">
        <f>INDEX(HCLTech!$B:$K,MATCH("Reserves",HCLTech!$A:$A,0),MATCH($B6,HCLTech!$B$16:$K$16,0))</f>
        <v>59370</v>
      </c>
      <c r="H26" s="2">
        <f t="shared" si="2"/>
        <v>59913</v>
      </c>
      <c r="I26" s="2">
        <f>INDEX(HCLTech!$B:$K,MATCH("Borrowings",HCLTech!$A:$A,0),MATCH($B6,HCLTech!$B$16:$K$16,0))</f>
        <v>6864</v>
      </c>
      <c r="J26" s="20">
        <f>INDEX(HCLTech!$B:$K,MATCH("EPS",HCLTech!$A:$A,0),MATCH($B6,HCLTech!$B$16:$K$16,0))</f>
        <v>41.069388657552416</v>
      </c>
      <c r="K26" s="21">
        <f>INDEX(HCLTech!$B:$K,MATCH("Return on Equity",HCLTech!$A:$A,0),MATCH($B6,HCLTech!$B$16:$K$16,0))</f>
        <v>0.18601972860647939</v>
      </c>
      <c r="L26" s="21">
        <f>INDEX(HCLTech!$B:$K,MATCH("Return on Capital Emp",HCLTech!$A:$A,0),MATCH($B6,HCLTech!$B$16:$K$16,0))</f>
        <v>0.25968420217408555</v>
      </c>
    </row>
    <row r="27" spans="1:22" x14ac:dyDescent="0.3">
      <c r="A27" s="2" t="s">
        <v>69</v>
      </c>
      <c r="B27" s="14">
        <v>44651</v>
      </c>
      <c r="C27" s="8">
        <f>INDEX(HCLTech!$B:$K,MATCH("Sales",HCLTech!$A:$A,0),MATCH($B7,HCLTech!$B$16:$K$16,0))</f>
        <v>85651</v>
      </c>
      <c r="D27" s="2">
        <f>INDEX(HCLTech!$B:$K,MATCH("Net profit",HCLTech!$A:$A,0),MATCH($B7,HCLTech!$B$16:$K$16,0))</f>
        <v>13499</v>
      </c>
      <c r="E27" s="2">
        <f>HCLTech!G66</f>
        <v>88921</v>
      </c>
      <c r="F27" s="2">
        <f>INDEX(HCLTech!$B:$K,MATCH("Equity Share Capital",HCLTech!$A:$A,0),MATCH($B7,HCLTech!$B$16:$K$16,0))</f>
        <v>543</v>
      </c>
      <c r="G27" s="2">
        <f>INDEX(HCLTech!$B:$K,MATCH("Reserves",HCLTech!$A:$A,0),MATCH($B7,HCLTech!$B$16:$K$16,0))</f>
        <v>61371</v>
      </c>
      <c r="H27" s="2">
        <f t="shared" si="2"/>
        <v>61914</v>
      </c>
      <c r="I27" s="2">
        <f>INDEX(HCLTech!$B:$K,MATCH("Borrowings",HCLTech!$A:$A,0),MATCH($B7,HCLTech!$B$16:$K$16,0))</f>
        <v>6343</v>
      </c>
      <c r="J27" s="20">
        <f>INDEX(HCLTech!$B:$K,MATCH("EPS",HCLTech!$A:$A,0),MATCH($B7,HCLTech!$B$16:$K$16,0))</f>
        <v>49.743892103032756</v>
      </c>
      <c r="K27" s="21">
        <f>INDEX(HCLTech!$B:$K,MATCH("Return on Equity",HCLTech!$A:$A,0),MATCH($B7,HCLTech!$B$16:$K$16,0))</f>
        <v>0.21802823270988791</v>
      </c>
      <c r="L27" s="21">
        <f>INDEX(HCLTech!$B:$K,MATCH("Return on Capital Emp",HCLTech!$A:$A,0),MATCH($B7,HCLTech!$B$16:$K$16,0))</f>
        <v>0.2557874313135951</v>
      </c>
    </row>
    <row r="28" spans="1:22" x14ac:dyDescent="0.3">
      <c r="A28" s="2" t="s">
        <v>69</v>
      </c>
      <c r="B28" s="14">
        <v>45016</v>
      </c>
      <c r="C28" s="8">
        <f>INDEX(HCLTech!$B:$K,MATCH("Sales",HCLTech!$A:$A,0),MATCH($B8,HCLTech!$B$16:$K$16,0))</f>
        <v>101456</v>
      </c>
      <c r="D28" s="2">
        <f>INDEX(HCLTech!$B:$K,MATCH("Net profit",HCLTech!$A:$A,0),MATCH($B8,HCLTech!$B$16:$K$16,0))</f>
        <v>14851</v>
      </c>
      <c r="E28" s="2">
        <f>HCLTech!H66</f>
        <v>93250</v>
      </c>
      <c r="F28" s="2">
        <f>INDEX(HCLTech!$B:$K,MATCH("Equity Share Capital",HCLTech!$A:$A,0),MATCH($B8,HCLTech!$B$16:$K$16,0))</f>
        <v>543</v>
      </c>
      <c r="G28" s="2">
        <f>INDEX(HCLTech!$B:$K,MATCH("Reserves",HCLTech!$A:$A,0),MATCH($B8,HCLTech!$B$16:$K$16,0))</f>
        <v>64862</v>
      </c>
      <c r="H28" s="2">
        <f t="shared" si="2"/>
        <v>65405</v>
      </c>
      <c r="I28" s="2">
        <f>INDEX(HCLTech!$B:$K,MATCH("Borrowings",HCLTech!$A:$A,0),MATCH($B8,HCLTech!$B$16:$K$16,0))</f>
        <v>4794</v>
      </c>
      <c r="J28" s="20">
        <f>INDEX(HCLTech!$B:$K,MATCH("EPS",HCLTech!$A:$A,0),MATCH($B8,HCLTech!$B$16:$K$16,0))</f>
        <v>54.726019825330731</v>
      </c>
      <c r="K28" s="21">
        <f>INDEX(HCLTech!$B:$K,MATCH("Return on Equity",HCLTech!$A:$A,0),MATCH($B8,HCLTech!$B$16:$K$16,0))</f>
        <v>0.22706215121168105</v>
      </c>
      <c r="L28" s="21">
        <f>INDEX(HCLTech!$B:$K,MATCH("Return on Capital Emp",HCLTech!$A:$A,0),MATCH($B8,HCLTech!$B$16:$K$16,0))</f>
        <v>0.28660368636967704</v>
      </c>
    </row>
    <row r="29" spans="1:22" x14ac:dyDescent="0.3">
      <c r="A29" s="2" t="s">
        <v>69</v>
      </c>
      <c r="B29" s="14">
        <v>45382</v>
      </c>
      <c r="C29" s="8">
        <f>INDEX(HCLTech!$B:$K,MATCH("Sales",HCLTech!$A:$A,0),MATCH($B9,HCLTech!$B$16:$K$16,0))</f>
        <v>109913</v>
      </c>
      <c r="D29" s="2">
        <f>INDEX(HCLTech!$B:$K,MATCH("Net profit",HCLTech!$A:$A,0),MATCH($B9,HCLTech!$B$16:$K$16,0))</f>
        <v>15702</v>
      </c>
      <c r="E29" s="2">
        <f>HCLTech!I66</f>
        <v>99006</v>
      </c>
      <c r="F29" s="2">
        <f>INDEX(HCLTech!$B:$K,MATCH("Equity Share Capital",HCLTech!$A:$A,0),MATCH($B9,HCLTech!$B$16:$K$16,0))</f>
        <v>543</v>
      </c>
      <c r="G29" s="2">
        <f>INDEX(HCLTech!$B:$K,MATCH("Reserves",HCLTech!$A:$A,0),MATCH($B9,HCLTech!$B$16:$K$16,0))</f>
        <v>67720</v>
      </c>
      <c r="H29" s="2">
        <f t="shared" si="2"/>
        <v>68263</v>
      </c>
      <c r="I29" s="2">
        <f>INDEX(HCLTech!$B:$K,MATCH("Borrowings",HCLTech!$A:$A,0),MATCH($B9,HCLTech!$B$16:$K$16,0))</f>
        <v>5756</v>
      </c>
      <c r="J29" s="20">
        <f>INDEX(HCLTech!$B:$K,MATCH("EPS",HCLTech!$A:$A,0),MATCH($B9,HCLTech!$B$16:$K$16,0))</f>
        <v>57.861959686037515</v>
      </c>
      <c r="K29" s="21">
        <f>INDEX(HCLTech!$B:$K,MATCH("Return on Equity",HCLTech!$A:$A,0),MATCH($B9,HCLTech!$B$16:$K$16,0))</f>
        <v>0.2300221203287286</v>
      </c>
      <c r="L29" s="21">
        <f>INDEX(HCLTech!$B:$K,MATCH("Return on Capital Emp",HCLTech!$A:$A,0),MATCH($B9,HCLTech!$B$16:$K$16,0))</f>
        <v>0.29843708829688387</v>
      </c>
    </row>
    <row r="30" spans="1:22" x14ac:dyDescent="0.3">
      <c r="A30" s="2" t="s">
        <v>69</v>
      </c>
      <c r="B30" s="14">
        <v>45747</v>
      </c>
      <c r="C30" s="8">
        <f>INDEX(HCLTech!$B:$K,MATCH("Sales",HCLTech!$A:$A,0),MATCH($B10,HCLTech!$B$16:$K$16,0))</f>
        <v>117055</v>
      </c>
      <c r="D30" s="2">
        <f>INDEX(HCLTech!$B:$K,MATCH("Net profit",HCLTech!$A:$A,0),MATCH($B10,HCLTech!$B$16:$K$16,0))</f>
        <v>17390</v>
      </c>
      <c r="E30" s="2">
        <f>HCLTech!J66</f>
        <v>104480</v>
      </c>
      <c r="F30" s="2">
        <f>INDEX(HCLTech!$B:$K,MATCH("Equity Share Capital",HCLTech!$A:$A,0),MATCH($B10,HCLTech!$B$16:$K$16,0))</f>
        <v>543</v>
      </c>
      <c r="G30" s="2">
        <f>INDEX(HCLTech!$B:$K,MATCH("Reserves",HCLTech!$A:$A,0),MATCH($B10,HCLTech!$B$16:$K$16,0))</f>
        <v>69112</v>
      </c>
      <c r="H30" s="2">
        <f t="shared" si="2"/>
        <v>69655</v>
      </c>
      <c r="I30" s="2">
        <f>INDEX(HCLTech!$B:$K,MATCH("Borrowings",HCLTech!$A:$A,0),MATCH($B10,HCLTech!$B$16:$K$16,0))</f>
        <v>6276</v>
      </c>
      <c r="J30" s="20">
        <f>INDEX(HCLTech!$B:$K,MATCH("EPS",HCLTech!$A:$A,0),MATCH($B10,HCLTech!$B$16:$K$16,0))</f>
        <v>64.082249327486451</v>
      </c>
      <c r="K30" s="21">
        <f>INDEX(HCLTech!$B:$K,MATCH("Return on Equity",HCLTech!$A:$A,0),MATCH($B10,HCLTech!$B$16:$K$16,0))</f>
        <v>0.24965903380948962</v>
      </c>
      <c r="L30" s="21">
        <f>INDEX(HCLTech!$B:$K,MATCH("Return on Capital Emp",HCLTech!$A:$A,0),MATCH($B10,HCLTech!$B$16:$K$16,0))</f>
        <v>0.31883961320440146</v>
      </c>
    </row>
    <row r="31" spans="1:22" x14ac:dyDescent="0.3">
      <c r="A31" s="2" t="s">
        <v>69</v>
      </c>
      <c r="B31" s="14">
        <v>46112</v>
      </c>
      <c r="C31" s="8">
        <f>INDEX(HCLTech!$B:$K,MATCH("Sales",HCLTech!$A:$A,0),MATCH($B11,HCLTech!$B$16:$K$16,0))</f>
        <v>130144</v>
      </c>
      <c r="D31" s="2">
        <f>INDEX(HCLTech!$B:$K,MATCH("Net profit",HCLTech!$A:$A,0),MATCH($B11,HCLTech!$B$16:$K$16,0))</f>
        <v>16642</v>
      </c>
      <c r="E31" s="2">
        <f>HCLTech!K66</f>
        <v>116258</v>
      </c>
      <c r="F31" s="2">
        <f>INDEX(HCLTech!$B:$K,MATCH("Equity Share Capital",HCLTech!$A:$A,0),MATCH($B11,HCLTech!$B$16:$K$16,0))</f>
        <v>543</v>
      </c>
      <c r="G31" s="2">
        <f>INDEX(HCLTech!$B:$K,MATCH("Reserves",HCLTech!$A:$A,0),MATCH($B11,HCLTech!$B$16:$K$16,0))</f>
        <v>74622</v>
      </c>
      <c r="H31" s="2">
        <f t="shared" si="2"/>
        <v>75165</v>
      </c>
      <c r="I31" s="2">
        <f>INDEX(HCLTech!$B:$K,MATCH("Borrowings",HCLTech!$A:$A,0),MATCH($B11,HCLTech!$B$16:$K$16,0))</f>
        <v>5215</v>
      </c>
      <c r="J31" s="20">
        <f>INDEX(HCLTech!$B:$K,MATCH("EPS",HCLTech!$A:$A,0),MATCH($B11,HCLTech!$B$16:$K$16,0))</f>
        <v>61.325865055090837</v>
      </c>
      <c r="K31" s="21">
        <f>INDEX(HCLTech!$B:$K,MATCH("Return on Equity",HCLTech!$A:$A,0),MATCH($B11,HCLTech!$B$16:$K$16,0))</f>
        <v>0.22140623960619971</v>
      </c>
      <c r="L31" s="21">
        <f>INDEX(HCLTech!$B:$K,MATCH("Return on Capital Emp",HCLTech!$A:$A,0),MATCH($B11,HCLTech!$B$16:$K$16,0))</f>
        <v>0.2939140559525561</v>
      </c>
    </row>
    <row r="32" spans="1:22" x14ac:dyDescent="0.3">
      <c r="A32" s="2" t="s">
        <v>70</v>
      </c>
      <c r="B32" s="14">
        <v>42825</v>
      </c>
      <c r="C32" s="8">
        <f>INDEX(Wipro!$B:$K,MATCH("Sales",Wipro!$A:$A,0),MATCH($B2,Wipro!$B$16:$K$16,0))</f>
        <v>55448.4</v>
      </c>
      <c r="D32" s="22">
        <f>INDEX(Wipro!$B:$K,MATCH("Net profit",Wipro!$A:$A,0),MATCH($B2,Wipro!$B$16:$K$16,0))</f>
        <v>8493.1</v>
      </c>
      <c r="E32" s="22">
        <f>Wipro!B66</f>
        <v>78672.2</v>
      </c>
      <c r="F32" s="22">
        <f>INDEX(Wipro!$B:$K,MATCH("Equity Share Capital",Wipro!$A:$A,0),MATCH($B2,Wipro!$B$16:$K$16,0))</f>
        <v>486.1</v>
      </c>
      <c r="G32" s="22">
        <f>INDEX(Wipro!$B:$K,MATCH("Reserves",Wipro!$A:$A,0),MATCH($B2,Wipro!$B$16:$K$16,0))</f>
        <v>51184.1</v>
      </c>
      <c r="H32" s="22">
        <f t="shared" ref="H32:H51" si="3">F32+G32</f>
        <v>51670.2</v>
      </c>
      <c r="I32" s="22">
        <f>INDEX(Wipro!$B:$K,MATCH("Borrowings",Wipro!$A:$A,0),MATCH($B2,Wipro!$B$16:$K$16,0))</f>
        <v>14241.2</v>
      </c>
      <c r="J32" s="20">
        <f>INDEX(Wipro!$B:$K,MATCH("EPS",Wipro!$A:$A,0),MATCH($B2,Wipro!$B$16:$K$16,0))</f>
        <v>6.5508916450697274</v>
      </c>
      <c r="K32" s="21">
        <f>INDEX(Wipro!$B:$K,MATCH("Return on Equity",Wipro!$A:$A,0),MATCH($B2,Wipro!$B$16:$K$16,0))</f>
        <v>0.1643713397664418</v>
      </c>
      <c r="L32" s="27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1:13" x14ac:dyDescent="0.3">
      <c r="A33" s="2" t="s">
        <v>70</v>
      </c>
      <c r="B33" s="14">
        <v>43190</v>
      </c>
      <c r="C33" s="8">
        <f>INDEX(Wipro!$B:$K,MATCH("Sales",Wipro!$A:$A,0),MATCH($B3,Wipro!$B$16:$K$16,0))</f>
        <v>54487.1</v>
      </c>
      <c r="D33" s="22">
        <f>INDEX(Wipro!$B:$K,MATCH("Net profit",Wipro!$A:$A,0),MATCH($B3,Wipro!$B$16:$K$16,0))</f>
        <v>8002.8</v>
      </c>
      <c r="E33" s="22">
        <f>Wipro!C66</f>
        <v>75390.8</v>
      </c>
      <c r="F33" s="22">
        <f>INDEX(Wipro!$B:$K,MATCH("Equity Share Capital",Wipro!$A:$A,0),MATCH($B3,Wipro!$B$16:$K$16,0))</f>
        <v>904.8</v>
      </c>
      <c r="G33" s="22">
        <f>INDEX(Wipro!$B:$K,MATCH("Reserves",Wipro!$A:$A,0),MATCH($B3,Wipro!$B$16:$K$16,0))</f>
        <v>47021.5</v>
      </c>
      <c r="H33" s="22">
        <f t="shared" si="3"/>
        <v>47926.3</v>
      </c>
      <c r="I33" s="22">
        <f>INDEX(Wipro!$B:$K,MATCH("Borrowings",Wipro!$A:$A,0),MATCH($B3,Wipro!$B$16:$K$16,0))</f>
        <v>13901.2</v>
      </c>
      <c r="J33" s="20">
        <f>INDEX(Wipro!$B:$K,MATCH("EPS",Wipro!$A:$A,0),MATCH($B3,Wipro!$B$16:$K$16,0))</f>
        <v>6.6338956355949774</v>
      </c>
      <c r="K33" s="21">
        <f>INDEX(Wipro!$B:$K,MATCH("Return on Equity",Wipro!$A:$A,0),MATCH($B3,Wipro!$B$16:$K$16,0))</f>
        <v>0.16698138600309223</v>
      </c>
      <c r="L33" s="21">
        <f>INDEX(Wipro!$B:$K,MATCH("Return on Capital Emp",Wipro!$A:$A,0),MATCH($B3,Wipro!$B$16:$K$16,0))</f>
        <v>0.16948948206067221</v>
      </c>
      <c r="M33" s="23"/>
    </row>
    <row r="34" spans="1:13" x14ac:dyDescent="0.3">
      <c r="A34" s="2" t="s">
        <v>70</v>
      </c>
      <c r="B34" s="14">
        <v>43555</v>
      </c>
      <c r="C34" s="8">
        <f>INDEX(Wipro!$B:$K,MATCH("Sales",Wipro!$A:$A,0),MATCH($B4,Wipro!$B$16:$K$16,0))</f>
        <v>59018.9</v>
      </c>
      <c r="D34" s="22">
        <f>INDEX(Wipro!$B:$K,MATCH("Net profit",Wipro!$A:$A,0),MATCH($B4,Wipro!$B$16:$K$16,0))</f>
        <v>9003.7000000000007</v>
      </c>
      <c r="E34" s="22">
        <f>Wipro!D66</f>
        <v>82586.399999999994</v>
      </c>
      <c r="F34" s="22">
        <f>INDEX(Wipro!$B:$K,MATCH("Equity Share Capital",Wipro!$A:$A,0),MATCH($B4,Wipro!$B$16:$K$16,0))</f>
        <v>1206.8</v>
      </c>
      <c r="G34" s="22">
        <f>INDEX(Wipro!$B:$K,MATCH("Reserves",Wipro!$A:$A,0),MATCH($B4,Wipro!$B$16:$K$16,0))</f>
        <v>55215.8</v>
      </c>
      <c r="H34" s="22">
        <f t="shared" si="3"/>
        <v>56422.600000000006</v>
      </c>
      <c r="I34" s="22">
        <f>INDEX(Wipro!$B:$K,MATCH("Borrowings",Wipro!$A:$A,0),MATCH($B4,Wipro!$B$16:$K$16,0))</f>
        <v>9946.7000000000007</v>
      </c>
      <c r="J34" s="20">
        <f>INDEX(Wipro!$B:$K,MATCH("EPS",Wipro!$A:$A,0),MATCH($B4,Wipro!$B$16:$K$16,0))</f>
        <v>7.4608672594237611</v>
      </c>
      <c r="K34" s="21">
        <f>INDEX(Wipro!$B:$K,MATCH("Return on Equity",Wipro!$A:$A,0),MATCH($B4,Wipro!$B$16:$K$16,0))</f>
        <v>0.15957612729650883</v>
      </c>
      <c r="L34" s="21">
        <f>INDEX(Wipro!$B:$K,MATCH("Return on Capital Emp",Wipro!$A:$A,0),MATCH($B4,Wipro!$B$16:$K$16,0))</f>
        <v>0.19157576476167892</v>
      </c>
      <c r="M34" s="23"/>
    </row>
    <row r="35" spans="1:13" x14ac:dyDescent="0.3">
      <c r="A35" s="2" t="s">
        <v>70</v>
      </c>
      <c r="B35" s="14">
        <v>43921</v>
      </c>
      <c r="C35" s="8">
        <f>INDEX(Wipro!$B:$K,MATCH("Sales",Wipro!$A:$A,0),MATCH($B5,Wipro!$B$16:$K$16,0))</f>
        <v>61137.599999999999</v>
      </c>
      <c r="D35" s="22">
        <f>INDEX(Wipro!$B:$K,MATCH("Net profit",Wipro!$A:$A,0),MATCH($B5,Wipro!$B$16:$K$16,0))</f>
        <v>9722.2999999999993</v>
      </c>
      <c r="E35" s="22">
        <f>Wipro!E66</f>
        <v>80999.600000000006</v>
      </c>
      <c r="F35" s="22">
        <f>INDEX(Wipro!$B:$K,MATCH("Equity Share Capital",Wipro!$A:$A,0),MATCH($B5,Wipro!$B$16:$K$16,0))</f>
        <v>1142.7</v>
      </c>
      <c r="G35" s="22">
        <f>INDEX(Wipro!$B:$K,MATCH("Reserves",Wipro!$A:$A,0),MATCH($B5,Wipro!$B$16:$K$16,0))</f>
        <v>54179</v>
      </c>
      <c r="H35" s="22">
        <f t="shared" si="3"/>
        <v>55321.7</v>
      </c>
      <c r="I35" s="22">
        <f>INDEX(Wipro!$B:$K,MATCH("Borrowings",Wipro!$A:$A,0),MATCH($B5,Wipro!$B$16:$K$16,0))</f>
        <v>9724</v>
      </c>
      <c r="J35" s="20">
        <f>INDEX(Wipro!$B:$K,MATCH("EPS",Wipro!$A:$A,0),MATCH($B5,Wipro!$B$16:$K$16,0))</f>
        <v>8.5084057514417974</v>
      </c>
      <c r="K35" s="21">
        <f>INDEX(Wipro!$B:$K,MATCH("Return on Equity",Wipro!$A:$A,0),MATCH($B5,Wipro!$B$16:$K$16,0))</f>
        <v>0.17574116485935898</v>
      </c>
      <c r="L35" s="21">
        <f>INDEX(Wipro!$B:$K,MATCH("Return on Capital Emp",Wipro!$A:$A,0),MATCH($B5,Wipro!$B$16:$K$16,0))</f>
        <v>0.19761366662861923</v>
      </c>
      <c r="M35" s="23"/>
    </row>
    <row r="36" spans="1:13" x14ac:dyDescent="0.3">
      <c r="A36" s="2" t="s">
        <v>70</v>
      </c>
      <c r="B36" s="14">
        <v>44286</v>
      </c>
      <c r="C36" s="8">
        <f>INDEX(Wipro!$B:$K,MATCH("Sales",Wipro!$A:$A,0),MATCH($B6,Wipro!$B$16:$K$16,0))</f>
        <v>61934.9</v>
      </c>
      <c r="D36" s="22">
        <f>INDEX(Wipro!$B:$K,MATCH("Net profit",Wipro!$A:$A,0),MATCH($B6,Wipro!$B$16:$K$16,0))</f>
        <v>10796.4</v>
      </c>
      <c r="E36" s="22">
        <f>Wipro!F66</f>
        <v>82565.8</v>
      </c>
      <c r="F36" s="22">
        <f>INDEX(Wipro!$B:$K,MATCH("Equity Share Capital",Wipro!$A:$A,0),MATCH($B6,Wipro!$B$16:$K$16,0))</f>
        <v>1095.8</v>
      </c>
      <c r="G36" s="22">
        <f>INDEX(Wipro!$B:$K,MATCH("Reserves",Wipro!$A:$A,0),MATCH($B6,Wipro!$B$16:$K$16,0))</f>
        <v>53805.2</v>
      </c>
      <c r="H36" s="22">
        <f t="shared" si="3"/>
        <v>54901</v>
      </c>
      <c r="I36" s="22">
        <f>INDEX(Wipro!$B:$K,MATCH("Borrowings",Wipro!$A:$A,0),MATCH($B6,Wipro!$B$16:$K$16,0))</f>
        <v>10451.4</v>
      </c>
      <c r="J36" s="20">
        <f>INDEX(Wipro!$B:$K,MATCH("EPS",Wipro!$A:$A,0),MATCH($B6,Wipro!$B$16:$K$16,0))</f>
        <v>9.8522581057280778</v>
      </c>
      <c r="K36" s="21">
        <f>INDEX(Wipro!$B:$K,MATCH("Return on Equity",Wipro!$A:$A,0),MATCH($B6,Wipro!$B$16:$K$16,0))</f>
        <v>0.196652155698439</v>
      </c>
      <c r="L36" s="21">
        <f>INDEX(Wipro!$B:$K,MATCH("Return on Capital Emp",Wipro!$A:$A,0),MATCH($B6,Wipro!$B$16:$K$16,0))</f>
        <v>0.22104156425592089</v>
      </c>
      <c r="M36" s="23"/>
    </row>
    <row r="37" spans="1:13" x14ac:dyDescent="0.3">
      <c r="A37" s="2" t="s">
        <v>70</v>
      </c>
      <c r="B37" s="14">
        <v>44651</v>
      </c>
      <c r="C37" s="8">
        <f>INDEX(Wipro!$B:$K,MATCH("Sales",Wipro!$A:$A,0),MATCH($B7,Wipro!$B$16:$K$16,0))</f>
        <v>79312</v>
      </c>
      <c r="D37" s="22">
        <f>INDEX(Wipro!$B:$K,MATCH("Net profit",Wipro!$A:$A,0),MATCH($B7,Wipro!$B$16:$K$16,0))</f>
        <v>12229.6</v>
      </c>
      <c r="E37" s="22">
        <f>Wipro!G66</f>
        <v>107275.6</v>
      </c>
      <c r="F37" s="22">
        <f>INDEX(Wipro!$B:$K,MATCH("Equity Share Capital",Wipro!$A:$A,0),MATCH($B7,Wipro!$B$16:$K$16,0))</f>
        <v>1096.4000000000001</v>
      </c>
      <c r="G37" s="22">
        <f>INDEX(Wipro!$B:$K,MATCH("Reserves",Wipro!$A:$A,0),MATCH($B7,Wipro!$B$16:$K$16,0))</f>
        <v>64306.6</v>
      </c>
      <c r="H37" s="22">
        <f t="shared" si="3"/>
        <v>65403</v>
      </c>
      <c r="I37" s="22">
        <f>INDEX(Wipro!$B:$K,MATCH("Borrowings",Wipro!$A:$A,0),MATCH($B7,Wipro!$B$16:$K$16,0))</f>
        <v>17592.900000000001</v>
      </c>
      <c r="J37" s="20">
        <f>INDEX(Wipro!$B:$K,MATCH("EPS",Wipro!$A:$A,0),MATCH($B7,Wipro!$B$16:$K$16,0))</f>
        <v>11.154221504729071</v>
      </c>
      <c r="K37" s="21">
        <f>INDEX(Wipro!$B:$K,MATCH("Return on Equity",Wipro!$A:$A,0),MATCH($B7,Wipro!$B$16:$K$16,0))</f>
        <v>0.18698836444811401</v>
      </c>
      <c r="L37" s="21">
        <f>INDEX(Wipro!$B:$K,MATCH("Return on Capital Emp",Wipro!$A:$A,0),MATCH($B7,Wipro!$B$16:$K$16,0))</f>
        <v>0.21130407291489017</v>
      </c>
      <c r="M37" s="23"/>
    </row>
    <row r="38" spans="1:13" x14ac:dyDescent="0.3">
      <c r="A38" s="2" t="s">
        <v>70</v>
      </c>
      <c r="B38" s="14">
        <v>45016</v>
      </c>
      <c r="C38" s="8">
        <f>INDEX(Wipro!$B:$K,MATCH("Sales",Wipro!$A:$A,0),MATCH($B8,Wipro!$B$16:$K$16,0))</f>
        <v>90487.6</v>
      </c>
      <c r="D38" s="22">
        <f>INDEX(Wipro!$B:$K,MATCH("Net profit",Wipro!$A:$A,0),MATCH($B8,Wipro!$B$16:$K$16,0))</f>
        <v>11350</v>
      </c>
      <c r="E38" s="22">
        <f>Wipro!H66</f>
        <v>116923.7</v>
      </c>
      <c r="F38" s="22">
        <f>INDEX(Wipro!$B:$K,MATCH("Equity Share Capital",Wipro!$A:$A,0),MATCH($B8,Wipro!$B$16:$K$16,0))</f>
        <v>1097.5999999999999</v>
      </c>
      <c r="G38" s="22">
        <f>INDEX(Wipro!$B:$K,MATCH("Reserves",Wipro!$A:$A,0),MATCH($B8,Wipro!$B$16:$K$16,0))</f>
        <v>76570.3</v>
      </c>
      <c r="H38" s="22">
        <f t="shared" si="3"/>
        <v>77667.900000000009</v>
      </c>
      <c r="I38" s="22">
        <f>INDEX(Wipro!$B:$K,MATCH("Borrowings",Wipro!$A:$A,0),MATCH($B8,Wipro!$B$16:$K$16,0))</f>
        <v>17466.599999999999</v>
      </c>
      <c r="J38" s="20">
        <f>INDEX(Wipro!$B:$K,MATCH("EPS",Wipro!$A:$A,0),MATCH($B8,Wipro!$B$16:$K$16,0))</f>
        <v>10.340931868292062</v>
      </c>
      <c r="K38" s="21">
        <f>INDEX(Wipro!$B:$K,MATCH("Return on Equity",Wipro!$A:$A,0),MATCH($B8,Wipro!$B$16:$K$16,0))</f>
        <v>0.14613501845678845</v>
      </c>
      <c r="L38" s="21">
        <f>INDEX(Wipro!$B:$K,MATCH("Return on Capital Emp",Wipro!$A:$A,0),MATCH($B8,Wipro!$B$16:$K$16,0))</f>
        <v>0.17709947319491789</v>
      </c>
      <c r="M38" s="23"/>
    </row>
    <row r="39" spans="1:13" x14ac:dyDescent="0.3">
      <c r="A39" s="2" t="s">
        <v>70</v>
      </c>
      <c r="B39" s="14">
        <v>45382</v>
      </c>
      <c r="C39" s="8">
        <f>INDEX(Wipro!$B:$K,MATCH("Sales",Wipro!$A:$A,0),MATCH($B9,Wipro!$B$16:$K$16,0))</f>
        <v>89760.3</v>
      </c>
      <c r="D39" s="22">
        <f>INDEX(Wipro!$B:$K,MATCH("Net profit",Wipro!$A:$A,0),MATCH($B9,Wipro!$B$16:$K$16,0))</f>
        <v>11045.2</v>
      </c>
      <c r="E39" s="22">
        <f>Wipro!I66</f>
        <v>114608.9</v>
      </c>
      <c r="F39" s="22">
        <f>INDEX(Wipro!$B:$K,MATCH("Equity Share Capital",Wipro!$A:$A,0),MATCH($B9,Wipro!$B$16:$K$16,0))</f>
        <v>1045</v>
      </c>
      <c r="G39" s="22">
        <f>INDEX(Wipro!$B:$K,MATCH("Reserves",Wipro!$A:$A,0),MATCH($B9,Wipro!$B$16:$K$16,0))</f>
        <v>73488</v>
      </c>
      <c r="H39" s="22">
        <f t="shared" si="3"/>
        <v>74533</v>
      </c>
      <c r="I39" s="22">
        <f>INDEX(Wipro!$B:$K,MATCH("Borrowings",Wipro!$A:$A,0),MATCH($B9,Wipro!$B$16:$K$16,0))</f>
        <v>16464.900000000001</v>
      </c>
      <c r="J39" s="20">
        <f>INDEX(Wipro!$B:$K,MATCH("EPS",Wipro!$A:$A,0),MATCH($B9,Wipro!$B$16:$K$16,0))</f>
        <v>10.569265954087443</v>
      </c>
      <c r="K39" s="21">
        <f>INDEX(Wipro!$B:$K,MATCH("Return on Equity",Wipro!$A:$A,0),MATCH($B9,Wipro!$B$16:$K$16,0))</f>
        <v>0.14819207599318424</v>
      </c>
      <c r="L39" s="21">
        <f>INDEX(Wipro!$B:$K,MATCH("Return on Capital Emp",Wipro!$A:$A,0),MATCH($B9,Wipro!$B$16:$K$16,0))</f>
        <v>0.17166490089850023</v>
      </c>
      <c r="M39" s="23"/>
    </row>
    <row r="40" spans="1:13" x14ac:dyDescent="0.3">
      <c r="A40" s="2" t="s">
        <v>70</v>
      </c>
      <c r="B40" s="14">
        <v>45747</v>
      </c>
      <c r="C40" s="8">
        <f>INDEX(Wipro!$B:$K,MATCH("Sales",Wipro!$A:$A,0),MATCH($B10,Wipro!$B$16:$K$16,0))</f>
        <v>89088.4</v>
      </c>
      <c r="D40" s="22">
        <f>INDEX(Wipro!$B:$K,MATCH("Net profit",Wipro!$A:$A,0),MATCH($B10,Wipro!$B$16:$K$16,0))</f>
        <v>13135.4</v>
      </c>
      <c r="E40" s="22">
        <f>Wipro!J66</f>
        <v>127929.1</v>
      </c>
      <c r="F40" s="22">
        <f>INDEX(Wipro!$B:$K,MATCH("Equity Share Capital",Wipro!$A:$A,0),MATCH($B10,Wipro!$B$16:$K$16,0))</f>
        <v>2094.4</v>
      </c>
      <c r="G40" s="22">
        <f>INDEX(Wipro!$B:$K,MATCH("Reserves",Wipro!$A:$A,0),MATCH($B10,Wipro!$B$16:$K$16,0))</f>
        <v>80269.7</v>
      </c>
      <c r="H40" s="22">
        <f t="shared" si="3"/>
        <v>82364.099999999991</v>
      </c>
      <c r="I40" s="22">
        <f>INDEX(Wipro!$B:$K,MATCH("Borrowings",Wipro!$A:$A,0),MATCH($B10,Wipro!$B$16:$K$16,0))</f>
        <v>19203.5</v>
      </c>
      <c r="J40" s="20">
        <f>INDEX(Wipro!$B:$K,MATCH("EPS",Wipro!$A:$A,0),MATCH($B10,Wipro!$B$16:$K$16,0))</f>
        <v>12.543233926337601</v>
      </c>
      <c r="K40" s="21">
        <f>INDEX(Wipro!$B:$K,MATCH("Return on Equity",Wipro!$A:$A,0),MATCH($B10,Wipro!$B$16:$K$16,0))</f>
        <v>0.15947967621815817</v>
      </c>
      <c r="L40" s="21">
        <f>INDEX(Wipro!$B:$K,MATCH("Return on Capital Emp",Wipro!$A:$A,0),MATCH($B10,Wipro!$B$16:$K$16,0))</f>
        <v>0.19705191220649598</v>
      </c>
      <c r="M40" s="23"/>
    </row>
    <row r="41" spans="1:13" x14ac:dyDescent="0.3">
      <c r="A41" s="2" t="s">
        <v>70</v>
      </c>
      <c r="B41" s="14">
        <v>46112</v>
      </c>
      <c r="C41" s="8">
        <f>INDEX(Wipro!$B:$K,MATCH("Sales",Wipro!$A:$A,0),MATCH($B11,Wipro!$B$16:$K$16,0))</f>
        <v>92624</v>
      </c>
      <c r="D41" s="22">
        <f>INDEX(Wipro!$B:$K,MATCH("Net profit",Wipro!$A:$A,0),MATCH($B11,Wipro!$B$16:$K$16,0))</f>
        <v>13197.4</v>
      </c>
      <c r="E41" s="22">
        <f>Wipro!K66</f>
        <v>140883.5</v>
      </c>
      <c r="F41" s="22">
        <f>INDEX(Wipro!$B:$K,MATCH("Equity Share Capital",Wipro!$A:$A,0),MATCH($B11,Wipro!$B$16:$K$16,0))</f>
        <v>2097.6999999999998</v>
      </c>
      <c r="G41" s="22">
        <f>INDEX(Wipro!$B:$K,MATCH("Reserves",Wipro!$A:$A,0),MATCH($B11,Wipro!$B$16:$K$16,0))</f>
        <v>85920.6</v>
      </c>
      <c r="H41" s="22">
        <f t="shared" si="3"/>
        <v>88018.3</v>
      </c>
      <c r="I41" s="22">
        <f>INDEX(Wipro!$B:$K,MATCH("Borrowings",Wipro!$A:$A,0),MATCH($B11,Wipro!$B$16:$K$16,0))</f>
        <v>20291</v>
      </c>
      <c r="J41" s="20">
        <f>INDEX(Wipro!$B:$K,MATCH("EPS",Wipro!$A:$A,0),MATCH($B11,Wipro!$B$16:$K$16,0))</f>
        <v>12.58285343808398</v>
      </c>
      <c r="K41" s="21">
        <f>INDEX(Wipro!$B:$K,MATCH("Return on Equity",Wipro!$A:$A,0),MATCH($B11,Wipro!$B$16:$K$16,0))</f>
        <v>0.14993927399188578</v>
      </c>
      <c r="L41" s="21">
        <f>INDEX(Wipro!$B:$K,MATCH("Return on Capital Emp",Wipro!$A:$A,0),MATCH($B11,Wipro!$B$16:$K$16,0))</f>
        <v>0.17915168367743189</v>
      </c>
      <c r="M41" s="23"/>
    </row>
    <row r="42" spans="1:13" x14ac:dyDescent="0.3">
      <c r="A42" s="2" t="s">
        <v>71</v>
      </c>
      <c r="B42" s="14">
        <v>42825</v>
      </c>
      <c r="C42" s="8">
        <f>INDEX(TechM!$B:$K,MATCH("Sales",TechM!$A:$A,0),MATCH($B2,TechM!$B$16:$K$16,0))</f>
        <v>29140.799999999999</v>
      </c>
      <c r="D42" s="22">
        <f>INDEX(TechM!$B:$K,MATCH("Net profit",TechM!$A:$A,0),MATCH($B2,TechM!$B$16:$K$16,0))</f>
        <v>2812.9</v>
      </c>
      <c r="E42" s="22">
        <f>TechM!B66</f>
        <v>26057</v>
      </c>
      <c r="F42" s="22">
        <f>INDEX(TechM!$B:$K,MATCH("Equity Share Capital",TechM!$A:$A,0),MATCH($B2,TechM!$B$16:$K$16,0))</f>
        <v>438.8</v>
      </c>
      <c r="G42" s="22">
        <f>INDEX(TechM!$B:$K,MATCH("Reserves",TechM!$A:$A,0),MATCH($B2,TechM!$B$16:$K$16,0))</f>
        <v>15998.4</v>
      </c>
      <c r="H42" s="22">
        <f t="shared" si="3"/>
        <v>16437.2</v>
      </c>
      <c r="I42" s="2">
        <f>INDEX(TechM!$B:$K,MATCH("Borrowings",TechM!$A:$A,0),MATCH($B2,TechM!$B$16:$K$16,0))</f>
        <v>1366.2</v>
      </c>
      <c r="J42" s="20">
        <f>INDEX(TechM!$B:$K,MATCH("EPS",TechM!$A:$A,0),MATCH($B2,TechM!$B$16:$K$16,0))</f>
        <v>28.876912021353046</v>
      </c>
      <c r="K42" s="21">
        <f>INDEX(TechM!$B:$K,MATCH("Return on Equity",TechM!$A:$A,0),MATCH($B2,TechM!$B$16:$K$16,0))</f>
        <v>0.17113011948507045</v>
      </c>
      <c r="L42" s="27"/>
    </row>
    <row r="43" spans="1:13" x14ac:dyDescent="0.3">
      <c r="A43" s="2" t="s">
        <v>71</v>
      </c>
      <c r="B43" s="14">
        <v>43190</v>
      </c>
      <c r="C43" s="8">
        <f>INDEX(TechM!$B:$K,MATCH("Sales",TechM!$A:$A,0),MATCH($B3,TechM!$B$16:$K$16,0))</f>
        <v>30772.9</v>
      </c>
      <c r="D43" s="22">
        <f>INDEX(TechM!$B:$K,MATCH("Net profit",TechM!$A:$A,0),MATCH($B3,TechM!$B$16:$K$16,0))</f>
        <v>3799.8</v>
      </c>
      <c r="E43" s="22">
        <f>TechM!C66</f>
        <v>30431.4</v>
      </c>
      <c r="F43" s="22">
        <f>INDEX(TechM!$B:$K,MATCH("Equity Share Capital",TechM!$A:$A,0),MATCH($B3,TechM!$B$16:$K$16,0))</f>
        <v>441.7</v>
      </c>
      <c r="G43" s="22">
        <f>INDEX(TechM!$B:$K,MATCH("Reserves",TechM!$A:$A,0),MATCH($B3,TechM!$B$16:$K$16,0))</f>
        <v>18401.099999999999</v>
      </c>
      <c r="H43" s="22">
        <f t="shared" si="3"/>
        <v>18842.8</v>
      </c>
      <c r="I43" s="2">
        <f>INDEX(TechM!$B:$K,MATCH("Borrowings",TechM!$A:$A,0),MATCH($B3,TechM!$B$16:$K$16,0))</f>
        <v>2396.6</v>
      </c>
      <c r="J43" s="20">
        <f>INDEX(TechM!$B:$K,MATCH("EPS",TechM!$A:$A,0),MATCH($B3,TechM!$B$16:$K$16,0))</f>
        <v>38.785342451770951</v>
      </c>
      <c r="K43" s="21">
        <f>INDEX(TechM!$B:$K,MATCH("Return on Equity",TechM!$A:$A,0),MATCH($B3,TechM!$B$16:$K$16,0))</f>
        <v>0.20165792769652072</v>
      </c>
      <c r="L43" s="21">
        <f>INDEX(TechM!$B:$K,MATCH("Return on Capital Emp",TechM!$A:$A,0),MATCH($B3,TechM!$B$16:$K$16,0))</f>
        <v>0.25823967543311444</v>
      </c>
    </row>
    <row r="44" spans="1:13" x14ac:dyDescent="0.3">
      <c r="A44" s="2" t="s">
        <v>71</v>
      </c>
      <c r="B44" s="14">
        <v>43555</v>
      </c>
      <c r="C44" s="8">
        <f>INDEX(TechM!$B:$K,MATCH("Sales",TechM!$A:$A,0),MATCH($B4,TechM!$B$16:$K$16,0))</f>
        <v>34742.1</v>
      </c>
      <c r="D44" s="22">
        <f>INDEX(TechM!$B:$K,MATCH("Net profit",TechM!$A:$A,0),MATCH($B4,TechM!$B$16:$K$16,0))</f>
        <v>4297.6000000000004</v>
      </c>
      <c r="E44" s="22">
        <f>TechM!D66</f>
        <v>33445.800000000003</v>
      </c>
      <c r="F44" s="22">
        <f>INDEX(TechM!$B:$K,MATCH("Equity Share Capital",TechM!$A:$A,0),MATCH($B4,TechM!$B$16:$K$16,0))</f>
        <v>443.7</v>
      </c>
      <c r="G44" s="22">
        <f>INDEX(TechM!$B:$K,MATCH("Reserves",TechM!$A:$A,0),MATCH($B4,TechM!$B$16:$K$16,0))</f>
        <v>19840.7</v>
      </c>
      <c r="H44" s="22">
        <f t="shared" si="3"/>
        <v>20284.400000000001</v>
      </c>
      <c r="I44" s="2">
        <f>INDEX(TechM!$B:$K,MATCH("Borrowings",TechM!$A:$A,0),MATCH($B4,TechM!$B$16:$K$16,0))</f>
        <v>1995.5</v>
      </c>
      <c r="J44" s="20">
        <f>INDEX(TechM!$B:$K,MATCH("EPS",TechM!$A:$A,0),MATCH($B4,TechM!$B$16:$K$16,0))</f>
        <v>43.701443969900346</v>
      </c>
      <c r="K44" s="21">
        <f>INDEX(TechM!$B:$K,MATCH("Return on Equity",TechM!$A:$A,0),MATCH($B4,TechM!$B$16:$K$16,0))</f>
        <v>0.21186724773717733</v>
      </c>
      <c r="L44" s="21">
        <f>INDEX(TechM!$B:$K,MATCH("Return on Capital Emp",TechM!$A:$A,0),MATCH($B4,TechM!$B$16:$K$16,0))</f>
        <v>0.26086816653760514</v>
      </c>
    </row>
    <row r="45" spans="1:13" x14ac:dyDescent="0.3">
      <c r="A45" s="2" t="s">
        <v>71</v>
      </c>
      <c r="B45" s="14">
        <v>43921</v>
      </c>
      <c r="C45" s="8">
        <f>INDEX(TechM!$B:$K,MATCH("Sales",TechM!$A:$A,0),MATCH($B5,TechM!$B$16:$K$16,0))</f>
        <v>36867.699999999997</v>
      </c>
      <c r="D45" s="22">
        <f>INDEX(TechM!$B:$K,MATCH("Net profit",TechM!$A:$A,0),MATCH($B5,TechM!$B$16:$K$16,0))</f>
        <v>4033</v>
      </c>
      <c r="E45" s="22">
        <f>TechM!E66</f>
        <v>37317.9</v>
      </c>
      <c r="F45" s="22">
        <f>INDEX(TechM!$B:$K,MATCH("Equity Share Capital",TechM!$A:$A,0),MATCH($B5,TechM!$B$16:$K$16,0))</f>
        <v>435.9</v>
      </c>
      <c r="G45" s="22">
        <f>INDEX(TechM!$B:$K,MATCH("Reserves",TechM!$A:$A,0),MATCH($B5,TechM!$B$16:$K$16,0))</f>
        <v>21377.200000000001</v>
      </c>
      <c r="H45" s="22">
        <f t="shared" si="3"/>
        <v>21813.100000000002</v>
      </c>
      <c r="I45" s="2">
        <f>INDEX(TechM!$B:$K,MATCH("Borrowings",TechM!$A:$A,0),MATCH($B5,TechM!$B$16:$K$16,0))</f>
        <v>3670.5</v>
      </c>
      <c r="J45" s="20">
        <f>INDEX(TechM!$B:$K,MATCH("EPS",TechM!$A:$A,0),MATCH($B5,TechM!$B$16:$K$16,0))</f>
        <v>41.753804741691688</v>
      </c>
      <c r="K45" s="21">
        <f>INDEX(TechM!$B:$K,MATCH("Return on Equity",TechM!$A:$A,0),MATCH($B5,TechM!$B$16:$K$16,0))</f>
        <v>0.1848888970389353</v>
      </c>
      <c r="L45" s="21">
        <f>INDEX(TechM!$B:$K,MATCH("Return on Capital Emp",TechM!$A:$A,0),MATCH($B5,TechM!$B$16:$K$16,0))</f>
        <v>0.21982057428789764</v>
      </c>
    </row>
    <row r="46" spans="1:13" x14ac:dyDescent="0.3">
      <c r="A46" s="2" t="s">
        <v>71</v>
      </c>
      <c r="B46" s="14">
        <v>44286</v>
      </c>
      <c r="C46" s="8">
        <f>INDEX(TechM!$B:$K,MATCH("Sales",TechM!$A:$A,0),MATCH($B6,TechM!$B$16:$K$16,0))</f>
        <v>37855.1</v>
      </c>
      <c r="D46" s="22">
        <f>INDEX(TechM!$B:$K,MATCH("Net profit",TechM!$A:$A,0),MATCH($B6,TechM!$B$16:$K$16,0))</f>
        <v>4428</v>
      </c>
      <c r="E46" s="22">
        <f>TechM!F66</f>
        <v>39601.9</v>
      </c>
      <c r="F46" s="22">
        <f>INDEX(TechM!$B:$K,MATCH("Equity Share Capital",TechM!$A:$A,0),MATCH($B6,TechM!$B$16:$K$16,0))</f>
        <v>437</v>
      </c>
      <c r="G46" s="22">
        <f>INDEX(TechM!$B:$K,MATCH("Reserves",TechM!$A:$A,0),MATCH($B6,TechM!$B$16:$K$16,0))</f>
        <v>24428</v>
      </c>
      <c r="H46" s="22">
        <f t="shared" si="3"/>
        <v>24865</v>
      </c>
      <c r="I46" s="2">
        <f>INDEX(TechM!$B:$K,MATCH("Borrowings",TechM!$A:$A,0),MATCH($B6,TechM!$B$16:$K$16,0))</f>
        <v>2900.8</v>
      </c>
      <c r="J46" s="20">
        <f>INDEX(TechM!$B:$K,MATCH("EPS",TechM!$A:$A,0),MATCH($B6,TechM!$B$16:$K$16,0))</f>
        <v>45.729629247134156</v>
      </c>
      <c r="K46" s="21">
        <f>INDEX(TechM!$B:$K,MATCH("Return on Equity",TechM!$A:$A,0),MATCH($B6,TechM!$B$16:$K$16,0))</f>
        <v>0.17808164086064748</v>
      </c>
      <c r="L46" s="21">
        <f>INDEX(TechM!$B:$K,MATCH("Return on Capital Emp",TechM!$A:$A,0),MATCH($B6,TechM!$B$16:$K$16,0))</f>
        <v>0.23012090277073538</v>
      </c>
    </row>
    <row r="47" spans="1:13" x14ac:dyDescent="0.3">
      <c r="A47" s="2" t="s">
        <v>71</v>
      </c>
      <c r="B47" s="14">
        <v>44651</v>
      </c>
      <c r="C47" s="8">
        <f>INDEX(TechM!$B:$K,MATCH("Sales",TechM!$A:$A,0),MATCH($B7,TechM!$B$16:$K$16,0))</f>
        <v>44646</v>
      </c>
      <c r="D47" s="22">
        <f>INDEX(TechM!$B:$K,MATCH("Net profit",TechM!$A:$A,0),MATCH($B7,TechM!$B$16:$K$16,0))</f>
        <v>5566.1</v>
      </c>
      <c r="E47" s="22">
        <f>TechM!G66</f>
        <v>44415.5</v>
      </c>
      <c r="F47" s="22">
        <f>INDEX(TechM!$B:$K,MATCH("Equity Share Capital",TechM!$A:$A,0),MATCH($B7,TechM!$B$16:$K$16,0))</f>
        <v>438.8</v>
      </c>
      <c r="G47" s="22">
        <f>INDEX(TechM!$B:$K,MATCH("Reserves",TechM!$A:$A,0),MATCH($B7,TechM!$B$16:$K$16,0))</f>
        <v>26446.9</v>
      </c>
      <c r="H47" s="22">
        <f t="shared" si="3"/>
        <v>26885.7</v>
      </c>
      <c r="I47" s="2">
        <f>INDEX(TechM!$B:$K,MATCH("Borrowings",TechM!$A:$A,0),MATCH($B7,TechM!$B$16:$K$16,0))</f>
        <v>2618.4</v>
      </c>
      <c r="J47" s="20">
        <f>INDEX(TechM!$B:$K,MATCH("EPS",TechM!$A:$A,0),MATCH($B7,TechM!$B$16:$K$16,0))</f>
        <v>57.276188516155585</v>
      </c>
      <c r="K47" s="21">
        <f>INDEX(TechM!$B:$K,MATCH("Return on Equity",TechM!$A:$A,0),MATCH($B7,TechM!$B$16:$K$16,0))</f>
        <v>0.20702827153468201</v>
      </c>
      <c r="L47" s="21">
        <f>INDEX(TechM!$B:$K,MATCH("Return on Capital Emp",TechM!$A:$A,0),MATCH($B7,TechM!$B$16:$K$16,0))</f>
        <v>0.26592328605427984</v>
      </c>
    </row>
    <row r="48" spans="1:13" x14ac:dyDescent="0.3">
      <c r="A48" s="2" t="s">
        <v>71</v>
      </c>
      <c r="B48" s="14">
        <v>45016</v>
      </c>
      <c r="C48" s="8">
        <f>INDEX(TechM!$B:$K,MATCH("Sales",TechM!$A:$A,0),MATCH($B8,TechM!$B$16:$K$16,0))</f>
        <v>53290.2</v>
      </c>
      <c r="D48" s="22">
        <f>INDEX(TechM!$B:$K,MATCH("Net profit",TechM!$A:$A,0),MATCH($B8,TechM!$B$16:$K$16,0))</f>
        <v>4831.3</v>
      </c>
      <c r="E48" s="22">
        <f>TechM!H66</f>
        <v>45827.199999999997</v>
      </c>
      <c r="F48" s="22">
        <f>INDEX(TechM!$B:$K,MATCH("Equity Share Capital",TechM!$A:$A,0),MATCH($B8,TechM!$B$16:$K$16,0))</f>
        <v>440</v>
      </c>
      <c r="G48" s="22">
        <f>INDEX(TechM!$B:$K,MATCH("Reserves",TechM!$A:$A,0),MATCH($B8,TechM!$B$16:$K$16,0))</f>
        <v>27484.5</v>
      </c>
      <c r="H48" s="22">
        <f t="shared" si="3"/>
        <v>27924.5</v>
      </c>
      <c r="I48" s="2">
        <f>INDEX(TechM!$B:$K,MATCH("Borrowings",TechM!$A:$A,0),MATCH($B8,TechM!$B$16:$K$16,0))</f>
        <v>2740.2</v>
      </c>
      <c r="J48" s="20">
        <f>INDEX(TechM!$B:$K,MATCH("EPS",TechM!$A:$A,0),MATCH($B8,TechM!$B$16:$K$16,0))</f>
        <v>49.597577250795609</v>
      </c>
      <c r="K48" s="21">
        <f>INDEX(TechM!$B:$K,MATCH("Return on Equity",TechM!$A:$A,0),MATCH($B8,TechM!$B$16:$K$16,0))</f>
        <v>0.17301294562122868</v>
      </c>
      <c r="L48" s="21">
        <f>INDEX(TechM!$B:$K,MATCH("Return on Capital Emp",TechM!$A:$A,0),MATCH($B8,TechM!$B$16:$K$16,0))</f>
        <v>0.22507013601733789</v>
      </c>
    </row>
    <row r="49" spans="1:12" x14ac:dyDescent="0.3">
      <c r="A49" s="2" t="s">
        <v>71</v>
      </c>
      <c r="B49" s="14">
        <v>45382</v>
      </c>
      <c r="C49" s="8">
        <f>INDEX(TechM!$B:$K,MATCH("Sales",TechM!$A:$A,0),MATCH($B9,TechM!$B$16:$K$16,0))</f>
        <v>51995.5</v>
      </c>
      <c r="D49" s="22">
        <f>INDEX(TechM!$B:$K,MATCH("Net profit",TechM!$A:$A,0),MATCH($B9,TechM!$B$16:$K$16,0))</f>
        <v>2357.8000000000002</v>
      </c>
      <c r="E49" s="22">
        <f>TechM!I66</f>
        <v>43149.1</v>
      </c>
      <c r="F49" s="22">
        <f>INDEX(TechM!$B:$K,MATCH("Equity Share Capital",TechM!$A:$A,0),MATCH($B9,TechM!$B$16:$K$16,0))</f>
        <v>441.3</v>
      </c>
      <c r="G49" s="22">
        <f>INDEX(TechM!$B:$K,MATCH("Reserves",TechM!$A:$A,0),MATCH($B9,TechM!$B$16:$K$16,0))</f>
        <v>26228.1</v>
      </c>
      <c r="H49" s="22">
        <f t="shared" si="3"/>
        <v>26669.399999999998</v>
      </c>
      <c r="I49" s="2">
        <f>INDEX(TechM!$B:$K,MATCH("Borrowings",TechM!$A:$A,0),MATCH($B9,TechM!$B$16:$K$16,0))</f>
        <v>2536.6999999999998</v>
      </c>
      <c r="J49" s="20">
        <f>INDEX(TechM!$B:$K,MATCH("EPS",TechM!$A:$A,0),MATCH($B9,TechM!$B$16:$K$16,0))</f>
        <v>24.138001638001636</v>
      </c>
      <c r="K49" s="21">
        <f>INDEX(TechM!$B:$K,MATCH("Return on Equity",TechM!$A:$A,0),MATCH($B9,TechM!$B$16:$K$16,0))</f>
        <v>8.8408438135091166E-2</v>
      </c>
      <c r="L49" s="21">
        <f>INDEX(TechM!$B:$K,MATCH("Return on Capital Emp",TechM!$A:$A,0),MATCH($B9,TechM!$B$16:$K$16,0))</f>
        <v>0.12081348503778136</v>
      </c>
    </row>
    <row r="50" spans="1:12" x14ac:dyDescent="0.3">
      <c r="A50" s="2" t="s">
        <v>71</v>
      </c>
      <c r="B50" s="14">
        <v>45747</v>
      </c>
      <c r="C50" s="8">
        <f>INDEX(TechM!$B:$K,MATCH("Sales",TechM!$A:$A,0),MATCH($B10,TechM!$B$16:$K$16,0))</f>
        <v>52988.3</v>
      </c>
      <c r="D50" s="22">
        <f>INDEX(TechM!$B:$K,MATCH("Net profit",TechM!$A:$A,0),MATCH($B10,TechM!$B$16:$K$16,0))</f>
        <v>4251.5</v>
      </c>
      <c r="E50" s="22">
        <f>TechM!J66</f>
        <v>44266.6</v>
      </c>
      <c r="F50" s="22">
        <f>INDEX(TechM!$B:$K,MATCH("Equity Share Capital",TechM!$A:$A,0),MATCH($B10,TechM!$B$16:$K$16,0))</f>
        <v>442.4</v>
      </c>
      <c r="G50" s="22">
        <f>INDEX(TechM!$B:$K,MATCH("Reserves",TechM!$A:$A,0),MATCH($B10,TechM!$B$16:$K$16,0))</f>
        <v>26919.1</v>
      </c>
      <c r="H50" s="22">
        <f t="shared" si="3"/>
        <v>27361.5</v>
      </c>
      <c r="I50" s="2">
        <f>INDEX(TechM!$B:$K,MATCH("Borrowings",TechM!$A:$A,0),MATCH($B10,TechM!$B$16:$K$16,0))</f>
        <v>2025.2</v>
      </c>
      <c r="J50" s="20">
        <f>INDEX(TechM!$B:$K,MATCH("EPS",TechM!$A:$A,0),MATCH($B10,TechM!$B$16:$K$16,0))</f>
        <v>43.426966292134829</v>
      </c>
      <c r="K50" s="21">
        <f>INDEX(TechM!$B:$K,MATCH("Return on Equity",TechM!$A:$A,0),MATCH($B10,TechM!$B$16:$K$16,0))</f>
        <v>0.15538256309047385</v>
      </c>
      <c r="L50" s="21">
        <f>INDEX(TechM!$B:$K,MATCH("Return on Capital Emp",TechM!$A:$A,0),MATCH($B10,TechM!$B$16:$K$16,0))</f>
        <v>0.20394655998689259</v>
      </c>
    </row>
    <row r="51" spans="1:12" x14ac:dyDescent="0.3">
      <c r="A51" s="2" t="s">
        <v>71</v>
      </c>
      <c r="B51" s="14">
        <v>46112</v>
      </c>
      <c r="C51" s="8">
        <f>INDEX(TechM!$B:$K,MATCH("Sales",TechM!$A:$A,0),MATCH($B11,TechM!$B$16:$K$16,0))</f>
        <v>56815.4</v>
      </c>
      <c r="D51" s="22">
        <f>INDEX(TechM!$B:$K,MATCH("Net profit",TechM!$A:$A,0),MATCH($B11,TechM!$B$16:$K$16,0))</f>
        <v>4810.8999999999996</v>
      </c>
      <c r="E51" s="22">
        <f>TechM!K66</f>
        <v>49167.7</v>
      </c>
      <c r="F51" s="22">
        <f>INDEX(TechM!$B:$K,MATCH("Equity Share Capital",TechM!$A:$A,0),MATCH($B11,TechM!$B$16:$K$16,0))</f>
        <v>442.8</v>
      </c>
      <c r="G51" s="22">
        <f>INDEX(TechM!$B:$K,MATCH("Reserves",TechM!$A:$A,0),MATCH($B11,TechM!$B$16:$K$16,0))</f>
        <v>29172.6</v>
      </c>
      <c r="H51" s="22">
        <f t="shared" si="3"/>
        <v>29615.399999999998</v>
      </c>
      <c r="I51" s="2">
        <f>INDEX(TechM!$B:$K,MATCH("Borrowings",TechM!$A:$A,0),MATCH($B11,TechM!$B$16:$K$16,0))</f>
        <v>2186.1999999999998</v>
      </c>
      <c r="J51" s="20">
        <f>INDEX(TechM!$B:$K,MATCH("EPS",TechM!$A:$A,0),MATCH($B11,TechM!$B$16:$K$16,0))</f>
        <v>49.100836905490908</v>
      </c>
      <c r="K51" s="21">
        <f>INDEX(TechM!$B:$K,MATCH("Return on Equity",TechM!$A:$A,0),MATCH($B11,TechM!$B$16:$K$16,0))</f>
        <v>0.1624458896384989</v>
      </c>
      <c r="L51" s="21">
        <f>INDEX(TechM!$B:$K,MATCH("Return on Capital Emp",TechM!$A:$A,0),MATCH($B11,TechM!$B$16:$K$16,0))</f>
        <v>0.22587651560837613</v>
      </c>
    </row>
    <row r="52" spans="1:12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BC38-BDDF-4AB8-A2FC-DED728C678AF}">
  <dimension ref="A1:O51"/>
  <sheetViews>
    <sheetView tabSelected="1" workbookViewId="0">
      <pane ySplit="1" topLeftCell="A2" activePane="bottomLeft" state="frozen"/>
      <selection pane="bottomLeft" activeCell="M51" sqref="M51"/>
    </sheetView>
  </sheetViews>
  <sheetFormatPr defaultRowHeight="14.4" x14ac:dyDescent="0.3"/>
  <cols>
    <col min="1" max="1" width="15.21875" customWidth="1"/>
    <col min="3" max="3" width="12" customWidth="1"/>
    <col min="4" max="5" width="11.109375" customWidth="1"/>
    <col min="6" max="6" width="12.33203125" customWidth="1"/>
    <col min="8" max="8" width="18.33203125" customWidth="1"/>
    <col min="9" max="9" width="10" customWidth="1"/>
    <col min="13" max="13" width="15.44140625" customWidth="1"/>
    <col min="15" max="15" width="18" customWidth="1"/>
  </cols>
  <sheetData>
    <row r="1" spans="1:15" x14ac:dyDescent="0.3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</v>
      </c>
      <c r="J1" s="1" t="s">
        <v>8</v>
      </c>
      <c r="K1" s="1" t="s">
        <v>66</v>
      </c>
      <c r="L1" s="25" t="s">
        <v>73</v>
      </c>
      <c r="M1" s="1" t="s">
        <v>75</v>
      </c>
      <c r="N1" s="1" t="s">
        <v>76</v>
      </c>
      <c r="O1" s="1" t="s">
        <v>77</v>
      </c>
    </row>
    <row r="2" spans="1:15" x14ac:dyDescent="0.3">
      <c r="A2" s="2" t="s">
        <v>65</v>
      </c>
      <c r="B2" s="14">
        <v>42825</v>
      </c>
      <c r="C2" s="8">
        <v>117966</v>
      </c>
      <c r="D2" s="3">
        <v>26289</v>
      </c>
      <c r="E2" s="2">
        <v>102333</v>
      </c>
      <c r="F2" s="2">
        <v>197</v>
      </c>
      <c r="G2" s="2">
        <v>86017</v>
      </c>
      <c r="H2" s="2">
        <v>86214</v>
      </c>
      <c r="I2" s="2">
        <v>289</v>
      </c>
      <c r="J2" s="18">
        <v>66.708112360120793</v>
      </c>
      <c r="K2" s="17">
        <v>0.30492727399262298</v>
      </c>
      <c r="L2" s="27"/>
      <c r="M2" s="28">
        <f>IF(OR(C2="",D2=""),"",D2/C2)</f>
        <v>0.22285234728650627</v>
      </c>
      <c r="N2" s="28">
        <f>IF(OR(D2="",E2=""),"",D2/E2)</f>
        <v>0.25689660226906275</v>
      </c>
      <c r="O2" s="29">
        <f>IF(OR(I2="",H2=""),"",I2/H2)</f>
        <v>3.3521237850001159E-3</v>
      </c>
    </row>
    <row r="3" spans="1:15" x14ac:dyDescent="0.3">
      <c r="A3" s="2" t="s">
        <v>65</v>
      </c>
      <c r="B3" s="14">
        <v>43190</v>
      </c>
      <c r="C3" s="8">
        <v>123104</v>
      </c>
      <c r="D3" s="3">
        <v>25826</v>
      </c>
      <c r="E3" s="2">
        <v>105126</v>
      </c>
      <c r="F3" s="2">
        <v>191</v>
      </c>
      <c r="G3" s="2">
        <v>84937</v>
      </c>
      <c r="H3" s="2">
        <v>85128</v>
      </c>
      <c r="I3" s="2">
        <v>247</v>
      </c>
      <c r="J3" s="18">
        <v>67.455466750248135</v>
      </c>
      <c r="K3" s="17">
        <v>0.30337844187576357</v>
      </c>
      <c r="L3" s="21">
        <v>0.39730506522067977</v>
      </c>
      <c r="M3" s="28">
        <f>IF(OR(C3="",D3=""),"",D3/C3)</f>
        <v>0.20979009617884065</v>
      </c>
      <c r="N3" s="28">
        <f>IF(OR(D3="",E3=""),"",D3/E3)</f>
        <v>0.24566710423682059</v>
      </c>
      <c r="O3" s="29">
        <f t="shared" ref="O3:O51" si="0">IF(OR(I3="",H3=""),"",I3/H3)</f>
        <v>2.9015130156940139E-3</v>
      </c>
    </row>
    <row r="4" spans="1:15" x14ac:dyDescent="0.3">
      <c r="A4" s="2" t="s">
        <v>65</v>
      </c>
      <c r="B4" s="14">
        <v>43555</v>
      </c>
      <c r="C4" s="8">
        <v>146463</v>
      </c>
      <c r="D4" s="3">
        <v>31472</v>
      </c>
      <c r="E4" s="2">
        <v>113901</v>
      </c>
      <c r="F4" s="2">
        <v>375</v>
      </c>
      <c r="G4" s="2">
        <v>89071</v>
      </c>
      <c r="H4" s="2">
        <v>89446</v>
      </c>
      <c r="I4" s="2">
        <v>62</v>
      </c>
      <c r="J4" s="18">
        <v>83.871655473830074</v>
      </c>
      <c r="K4" s="17">
        <v>0.35185475035216779</v>
      </c>
      <c r="L4" s="21">
        <v>0.47758787303511491</v>
      </c>
      <c r="M4" s="28">
        <f>IF(OR(C4="",D4=""),"",D4/C4)</f>
        <v>0.21488020865338003</v>
      </c>
      <c r="N4" s="28">
        <f>IF(OR(D4="",E4=""),"",D4/E4)</f>
        <v>0.2763101289716508</v>
      </c>
      <c r="O4" s="29">
        <f t="shared" si="0"/>
        <v>6.9315564698253698E-4</v>
      </c>
    </row>
    <row r="5" spans="1:15" x14ac:dyDescent="0.3">
      <c r="A5" s="2" t="s">
        <v>65</v>
      </c>
      <c r="B5" s="14">
        <v>43921</v>
      </c>
      <c r="C5" s="8">
        <v>156949</v>
      </c>
      <c r="D5" s="3">
        <v>32340</v>
      </c>
      <c r="E5" s="2">
        <v>120127</v>
      </c>
      <c r="F5" s="2">
        <v>375</v>
      </c>
      <c r="G5" s="2">
        <v>83751</v>
      </c>
      <c r="H5" s="2">
        <v>84126</v>
      </c>
      <c r="I5" s="2">
        <v>8174</v>
      </c>
      <c r="J5" s="18">
        <v>86.184841701311157</v>
      </c>
      <c r="K5" s="17">
        <v>0.38442336495257112</v>
      </c>
      <c r="L5" s="21">
        <v>0.47491859544134474</v>
      </c>
      <c r="M5" s="28">
        <f>IF(OR(C5="",D5=""),"",D5/C5)</f>
        <v>0.20605419594900254</v>
      </c>
      <c r="N5" s="28">
        <f>IF(OR(D5="",E5=""),"",D5/E5)</f>
        <v>0.26921508070625255</v>
      </c>
      <c r="O5" s="29">
        <f t="shared" si="0"/>
        <v>9.716377814231035E-2</v>
      </c>
    </row>
    <row r="6" spans="1:15" x14ac:dyDescent="0.3">
      <c r="A6" s="2" t="s">
        <v>65</v>
      </c>
      <c r="B6" s="14">
        <v>44286</v>
      </c>
      <c r="C6" s="8">
        <v>164177</v>
      </c>
      <c r="D6" s="3">
        <v>32430</v>
      </c>
      <c r="E6" s="2">
        <v>129992</v>
      </c>
      <c r="F6" s="2">
        <v>370</v>
      </c>
      <c r="G6" s="2">
        <v>86063</v>
      </c>
      <c r="H6" s="2">
        <v>86433</v>
      </c>
      <c r="I6" s="2">
        <v>7795</v>
      </c>
      <c r="J6" s="18">
        <v>87.669973777405303</v>
      </c>
      <c r="K6" s="17">
        <v>0.37520391517128876</v>
      </c>
      <c r="L6" s="21">
        <v>0.4760357694287185</v>
      </c>
      <c r="M6" s="28">
        <f>IF(OR(C6="",D6=""),"",D6/C6)</f>
        <v>0.19753071380278603</v>
      </c>
      <c r="N6" s="28">
        <f>IF(OR(D6="",E6=""),"",D6/E6)</f>
        <v>0.24947689088559297</v>
      </c>
      <c r="O6" s="29">
        <f t="shared" si="0"/>
        <v>9.0185461571390554E-2</v>
      </c>
    </row>
    <row r="7" spans="1:15" x14ac:dyDescent="0.3">
      <c r="A7" s="2" t="s">
        <v>65</v>
      </c>
      <c r="B7" s="14">
        <v>44651</v>
      </c>
      <c r="C7" s="8">
        <v>191754</v>
      </c>
      <c r="D7" s="3">
        <v>38327</v>
      </c>
      <c r="E7" s="2">
        <v>140924</v>
      </c>
      <c r="F7" s="2">
        <v>366</v>
      </c>
      <c r="G7" s="2">
        <v>88773</v>
      </c>
      <c r="H7" s="2">
        <v>89139</v>
      </c>
      <c r="I7" s="2">
        <v>7818</v>
      </c>
      <c r="J7" s="18">
        <v>104.74433603891667</v>
      </c>
      <c r="K7" s="17">
        <v>0.42996892493745725</v>
      </c>
      <c r="L7" s="21">
        <v>0.54890289510160317</v>
      </c>
      <c r="M7" s="28">
        <f>IF(OR(C7="",D7=""),"",D7/C7)</f>
        <v>0.19987588264130082</v>
      </c>
      <c r="N7" s="28">
        <f>IF(OR(D7="",E7=""),"",D7/E7)</f>
        <v>0.27196928841077461</v>
      </c>
      <c r="O7" s="29">
        <f t="shared" si="0"/>
        <v>8.7705718035876554E-2</v>
      </c>
    </row>
    <row r="8" spans="1:15" x14ac:dyDescent="0.3">
      <c r="A8" s="2" t="s">
        <v>65</v>
      </c>
      <c r="B8" s="14">
        <v>45016</v>
      </c>
      <c r="C8" s="8">
        <v>225458</v>
      </c>
      <c r="D8" s="3">
        <v>42147</v>
      </c>
      <c r="E8" s="2">
        <v>142859</v>
      </c>
      <c r="F8" s="2">
        <v>366</v>
      </c>
      <c r="G8" s="2">
        <v>90058</v>
      </c>
      <c r="H8" s="2">
        <v>90424</v>
      </c>
      <c r="I8" s="2">
        <v>7688</v>
      </c>
      <c r="J8" s="18">
        <v>115.1840616545052</v>
      </c>
      <c r="K8" s="17">
        <v>0.46610413164646552</v>
      </c>
      <c r="L8" s="21">
        <v>0.59144200257344837</v>
      </c>
      <c r="M8" s="28">
        <f>IF(OR(C8="",D8=""),"",D8/C8)</f>
        <v>0.18693947431450647</v>
      </c>
      <c r="N8" s="28">
        <f>IF(OR(D8="",E8=""),"",D8/E8)</f>
        <v>0.29502516467285927</v>
      </c>
      <c r="O8" s="29">
        <f t="shared" si="0"/>
        <v>8.5021675661328858E-2</v>
      </c>
    </row>
    <row r="9" spans="1:15" x14ac:dyDescent="0.3">
      <c r="A9" s="2" t="s">
        <v>65</v>
      </c>
      <c r="B9" s="14">
        <v>45382</v>
      </c>
      <c r="C9" s="8">
        <v>240893</v>
      </c>
      <c r="D9" s="3">
        <v>45908</v>
      </c>
      <c r="E9" s="2">
        <v>145472</v>
      </c>
      <c r="F9" s="2">
        <v>362</v>
      </c>
      <c r="G9" s="2">
        <v>90127</v>
      </c>
      <c r="H9" s="2">
        <v>90489</v>
      </c>
      <c r="I9" s="2">
        <v>8021</v>
      </c>
      <c r="J9" s="18">
        <v>126.88427627760427</v>
      </c>
      <c r="K9" s="17">
        <v>0.50733238294157301</v>
      </c>
      <c r="L9" s="21">
        <v>0.63853485367863205</v>
      </c>
      <c r="M9" s="28">
        <f>IF(OR(C9="",D9=""),"",D9/C9)</f>
        <v>0.19057423835478823</v>
      </c>
      <c r="N9" s="28">
        <f>IF(OR(D9="",E9=""),"",D9/E9)</f>
        <v>0.31557963044434667</v>
      </c>
      <c r="O9" s="29">
        <f t="shared" si="0"/>
        <v>8.8640608250726602E-2</v>
      </c>
    </row>
    <row r="10" spans="1:15" x14ac:dyDescent="0.3">
      <c r="A10" s="2" t="s">
        <v>65</v>
      </c>
      <c r="B10" s="14">
        <v>45747</v>
      </c>
      <c r="C10" s="8">
        <v>255324</v>
      </c>
      <c r="D10" s="3">
        <v>48553</v>
      </c>
      <c r="E10" s="2">
        <v>158649</v>
      </c>
      <c r="F10" s="2">
        <v>362</v>
      </c>
      <c r="G10" s="2">
        <v>94394</v>
      </c>
      <c r="H10" s="2">
        <v>94756</v>
      </c>
      <c r="I10" s="2">
        <v>9392</v>
      </c>
      <c r="J10" s="18">
        <v>134.1947430972057</v>
      </c>
      <c r="K10" s="17">
        <v>0.51240027016758838</v>
      </c>
      <c r="L10" s="21">
        <v>0.65259698605532468</v>
      </c>
      <c r="M10" s="28">
        <f>IF(OR(C10="",D10=""),"",D10/C10)</f>
        <v>0.1901623035828986</v>
      </c>
      <c r="N10" s="28">
        <f>IF(OR(D10="",E10=""),"",D10/E10)</f>
        <v>0.30604037844549919</v>
      </c>
      <c r="O10" s="29">
        <f t="shared" si="0"/>
        <v>9.9117733969352861E-2</v>
      </c>
    </row>
    <row r="11" spans="1:15" x14ac:dyDescent="0.3">
      <c r="A11" s="2" t="s">
        <v>65</v>
      </c>
      <c r="B11" s="14">
        <v>46112</v>
      </c>
      <c r="C11" s="8">
        <v>267021</v>
      </c>
      <c r="D11" s="3">
        <v>49210</v>
      </c>
      <c r="E11" s="2">
        <v>181167</v>
      </c>
      <c r="F11" s="2">
        <v>362</v>
      </c>
      <c r="G11" s="2">
        <v>106878</v>
      </c>
      <c r="H11" s="2">
        <v>107240</v>
      </c>
      <c r="I11" s="2">
        <v>11283</v>
      </c>
      <c r="J11" s="18">
        <v>136.01061330532599</v>
      </c>
      <c r="K11" s="17">
        <v>0.45887728459530025</v>
      </c>
      <c r="L11" s="21">
        <v>0.59921588352322486</v>
      </c>
      <c r="M11" s="28">
        <f>IF(OR(C11="",D11=""),"",D11/C11)</f>
        <v>0.1842926211796076</v>
      </c>
      <c r="N11" s="28">
        <f>IF(OR(D11="",E11=""),"",D11/E11)</f>
        <v>0.27162783509137978</v>
      </c>
      <c r="O11" s="29">
        <f t="shared" si="0"/>
        <v>0.10521260723610593</v>
      </c>
    </row>
    <row r="12" spans="1:15" x14ac:dyDescent="0.3">
      <c r="A12" s="2" t="s">
        <v>68</v>
      </c>
      <c r="B12" s="14">
        <v>42825</v>
      </c>
      <c r="C12" s="8">
        <v>68484</v>
      </c>
      <c r="D12" s="2">
        <v>14353</v>
      </c>
      <c r="E12" s="2">
        <v>83148</v>
      </c>
      <c r="F12" s="2">
        <v>1144</v>
      </c>
      <c r="G12" s="2">
        <v>67838</v>
      </c>
      <c r="H12" s="2">
        <v>68982</v>
      </c>
      <c r="I12" s="27"/>
      <c r="J12" s="20">
        <v>31.243605650971944</v>
      </c>
      <c r="K12" s="21">
        <v>0.20806877156359629</v>
      </c>
      <c r="L12" s="27"/>
      <c r="M12" s="28">
        <f>IF(OR(C12="",D12=""),"",D12/C12)</f>
        <v>0.20958180012849717</v>
      </c>
      <c r="N12" s="28">
        <f>IF(OR(D12="",E12=""),"",D12/E12)</f>
        <v>0.17261990667243951</v>
      </c>
      <c r="O12" s="29" t="str">
        <f t="shared" si="0"/>
        <v/>
      </c>
    </row>
    <row r="13" spans="1:15" x14ac:dyDescent="0.3">
      <c r="A13" s="2" t="s">
        <v>68</v>
      </c>
      <c r="B13" s="14">
        <v>43190</v>
      </c>
      <c r="C13" s="8">
        <v>70522</v>
      </c>
      <c r="D13" s="2">
        <v>16029</v>
      </c>
      <c r="E13" s="2">
        <v>79349</v>
      </c>
      <c r="F13" s="2">
        <v>1088</v>
      </c>
      <c r="G13" s="2">
        <v>63835</v>
      </c>
      <c r="H13" s="2">
        <v>64923</v>
      </c>
      <c r="I13" s="27"/>
      <c r="J13" s="20">
        <v>36.694748408955633</v>
      </c>
      <c r="K13" s="21">
        <v>0.24689247262141306</v>
      </c>
      <c r="L13" s="21">
        <v>0.30275195101004443</v>
      </c>
      <c r="M13" s="28">
        <f>IF(OR(C13="",D13=""),"",D13/C13)</f>
        <v>0.22729077451008195</v>
      </c>
      <c r="N13" s="28">
        <f>IF(OR(D13="",E13=""),"",D13/E13)</f>
        <v>0.20200632648174521</v>
      </c>
      <c r="O13" s="29" t="str">
        <f t="shared" si="0"/>
        <v/>
      </c>
    </row>
    <row r="14" spans="1:15" x14ac:dyDescent="0.3">
      <c r="A14" s="2" t="s">
        <v>68</v>
      </c>
      <c r="B14" s="14">
        <v>43555</v>
      </c>
      <c r="C14" s="8">
        <v>82675</v>
      </c>
      <c r="D14" s="2">
        <v>15404</v>
      </c>
      <c r="E14" s="2">
        <v>84066</v>
      </c>
      <c r="F14" s="2">
        <v>2170</v>
      </c>
      <c r="G14" s="2">
        <v>62778</v>
      </c>
      <c r="H14" s="2">
        <v>64948</v>
      </c>
      <c r="I14" s="27"/>
      <c r="J14" s="20">
        <v>35.258303005333154</v>
      </c>
      <c r="K14" s="21">
        <v>0.23717435486851018</v>
      </c>
      <c r="L14" s="21">
        <v>0.3240292290041657</v>
      </c>
      <c r="M14" s="28">
        <f>IF(OR(C14="",D14=""),"",D14/C14)</f>
        <v>0.1863199274266707</v>
      </c>
      <c r="N14" s="28">
        <f>IF(OR(D14="",E14=""),"",D14/E14)</f>
        <v>0.18323698046772774</v>
      </c>
      <c r="O14" s="29" t="str">
        <f t="shared" si="0"/>
        <v/>
      </c>
    </row>
    <row r="15" spans="1:15" x14ac:dyDescent="0.3">
      <c r="A15" s="2" t="s">
        <v>68</v>
      </c>
      <c r="B15" s="14">
        <v>43921</v>
      </c>
      <c r="C15" s="8">
        <v>90791</v>
      </c>
      <c r="D15" s="2">
        <v>16594</v>
      </c>
      <c r="E15" s="2">
        <v>91800</v>
      </c>
      <c r="F15" s="2">
        <v>2122</v>
      </c>
      <c r="G15" s="2">
        <v>63328</v>
      </c>
      <c r="H15" s="2">
        <v>65450</v>
      </c>
      <c r="I15" s="2">
        <v>4633</v>
      </c>
      <c r="J15" s="20">
        <v>38.962197698990373</v>
      </c>
      <c r="K15" s="21">
        <v>0.25353705118411002</v>
      </c>
      <c r="L15" s="21">
        <v>0.32847272107886338</v>
      </c>
      <c r="M15" s="28">
        <f>IF(OR(C15="",D15=""),"",D15/C15)</f>
        <v>0.182771420074677</v>
      </c>
      <c r="N15" s="28">
        <f>IF(OR(D15="",E15=""),"",D15/E15)</f>
        <v>0.18076252723311548</v>
      </c>
      <c r="O15" s="29">
        <f t="shared" si="0"/>
        <v>7.0786860198624901E-2</v>
      </c>
    </row>
    <row r="16" spans="1:15" x14ac:dyDescent="0.3">
      <c r="A16" s="2" t="s">
        <v>68</v>
      </c>
      <c r="B16" s="14">
        <v>44286</v>
      </c>
      <c r="C16" s="8">
        <v>100472</v>
      </c>
      <c r="D16" s="2">
        <v>19351</v>
      </c>
      <c r="E16" s="2">
        <v>107511</v>
      </c>
      <c r="F16" s="2">
        <v>2124</v>
      </c>
      <c r="G16" s="2">
        <v>74227</v>
      </c>
      <c r="H16" s="2">
        <v>76351</v>
      </c>
      <c r="I16" s="2">
        <v>5325</v>
      </c>
      <c r="J16" s="20">
        <v>45.417419672823712</v>
      </c>
      <c r="K16" s="21">
        <v>0.2534478919726002</v>
      </c>
      <c r="L16" s="21">
        <v>0.3534946856529102</v>
      </c>
      <c r="M16" s="28">
        <f>IF(OR(C16="",D16=""),"",D16/C16)</f>
        <v>0.19260092364041723</v>
      </c>
      <c r="N16" s="28">
        <f>IF(OR(D16="",E16=""),"",D16/E16)</f>
        <v>0.17999088465366334</v>
      </c>
      <c r="O16" s="29">
        <f t="shared" si="0"/>
        <v>6.9743683776243931E-2</v>
      </c>
    </row>
    <row r="17" spans="1:15" x14ac:dyDescent="0.3">
      <c r="A17" s="2" t="s">
        <v>68</v>
      </c>
      <c r="B17" s="14">
        <v>44651</v>
      </c>
      <c r="C17" s="8">
        <v>121641</v>
      </c>
      <c r="D17" s="2">
        <v>22110</v>
      </c>
      <c r="E17" s="2">
        <v>116729</v>
      </c>
      <c r="F17" s="2">
        <v>2098</v>
      </c>
      <c r="G17" s="2">
        <v>73252</v>
      </c>
      <c r="H17" s="2">
        <v>75350</v>
      </c>
      <c r="I17" s="2">
        <v>5474</v>
      </c>
      <c r="J17" s="20">
        <v>52.559013003066532</v>
      </c>
      <c r="K17" s="21">
        <v>0.29343065693430659</v>
      </c>
      <c r="L17" s="21">
        <v>0.37304615384615386</v>
      </c>
      <c r="M17" s="28">
        <f>IF(OR(C17="",D17=""),"",D17/C17)</f>
        <v>0.18176437221002786</v>
      </c>
      <c r="N17" s="28">
        <f>IF(OR(D17="",E17=""),"",D17/E17)</f>
        <v>0.18941308500886669</v>
      </c>
      <c r="O17" s="29">
        <f t="shared" si="0"/>
        <v>7.264764432647644E-2</v>
      </c>
    </row>
    <row r="18" spans="1:15" x14ac:dyDescent="0.3">
      <c r="A18" s="2" t="s">
        <v>68</v>
      </c>
      <c r="B18" s="14">
        <v>45016</v>
      </c>
      <c r="C18" s="8">
        <v>146767</v>
      </c>
      <c r="D18" s="2">
        <v>24095</v>
      </c>
      <c r="E18" s="2">
        <v>124596</v>
      </c>
      <c r="F18" s="2">
        <v>2069</v>
      </c>
      <c r="G18" s="2">
        <v>73338</v>
      </c>
      <c r="H18" s="2">
        <v>75407</v>
      </c>
      <c r="I18" s="2">
        <v>8299</v>
      </c>
      <c r="J18" s="20">
        <v>58.079834160921756</v>
      </c>
      <c r="K18" s="21">
        <v>0.31953266938082669</v>
      </c>
      <c r="L18" s="21">
        <v>0.40850908648878625</v>
      </c>
      <c r="M18" s="28">
        <f>IF(OR(C18="",D18=""),"",D18/C18)</f>
        <v>0.16417178248516356</v>
      </c>
      <c r="N18" s="28">
        <f>IF(OR(D18="",E18=""),"",D18/E18)</f>
        <v>0.19338502038588717</v>
      </c>
      <c r="O18" s="29">
        <f t="shared" si="0"/>
        <v>0.11005609558794277</v>
      </c>
    </row>
    <row r="19" spans="1:15" x14ac:dyDescent="0.3">
      <c r="A19" s="2" t="s">
        <v>68</v>
      </c>
      <c r="B19" s="14">
        <v>45382</v>
      </c>
      <c r="C19" s="8">
        <v>153670</v>
      </c>
      <c r="D19" s="2">
        <v>26233</v>
      </c>
      <c r="E19" s="2">
        <v>136020</v>
      </c>
      <c r="F19" s="2">
        <v>2071</v>
      </c>
      <c r="G19" s="2">
        <v>86045</v>
      </c>
      <c r="H19" s="2">
        <v>88116</v>
      </c>
      <c r="I19" s="2">
        <v>8359</v>
      </c>
      <c r="J19" s="20">
        <v>63.198342528126432</v>
      </c>
      <c r="K19" s="21">
        <v>0.29770983703300197</v>
      </c>
      <c r="L19" s="21">
        <v>0.40468195869708795</v>
      </c>
      <c r="M19" s="28">
        <f>IF(OR(C19="",D19=""),"",D19/C19)</f>
        <v>0.17070996290752913</v>
      </c>
      <c r="N19" s="28">
        <f>IF(OR(D19="",E19=""),"",D19/E19)</f>
        <v>0.19286134392001175</v>
      </c>
      <c r="O19" s="29">
        <f t="shared" si="0"/>
        <v>9.4863588905533619E-2</v>
      </c>
    </row>
    <row r="20" spans="1:15" x14ac:dyDescent="0.3">
      <c r="A20" s="2" t="s">
        <v>68</v>
      </c>
      <c r="B20" s="14">
        <v>45747</v>
      </c>
      <c r="C20" s="8">
        <v>162990</v>
      </c>
      <c r="D20" s="2">
        <v>26713</v>
      </c>
      <c r="E20" s="2">
        <v>147795</v>
      </c>
      <c r="F20" s="2">
        <v>2073</v>
      </c>
      <c r="G20" s="2">
        <v>93745</v>
      </c>
      <c r="H20" s="2">
        <v>95818</v>
      </c>
      <c r="I20" s="2">
        <v>8227</v>
      </c>
      <c r="J20" s="20">
        <v>64.317530638287636</v>
      </c>
      <c r="K20" s="21">
        <v>0.27878895405873633</v>
      </c>
      <c r="L20" s="21">
        <v>0.37925393975663274</v>
      </c>
      <c r="M20" s="28">
        <f>IF(OR(C20="",D20=""),"",D20/C20)</f>
        <v>0.16389349039818393</v>
      </c>
      <c r="N20" s="28">
        <f>IF(OR(D20="",E20=""),"",D20/E20)</f>
        <v>0.18074359755066138</v>
      </c>
      <c r="O20" s="29">
        <f t="shared" si="0"/>
        <v>8.5860694232816379E-2</v>
      </c>
    </row>
    <row r="21" spans="1:15" x14ac:dyDescent="0.3">
      <c r="A21" s="2" t="s">
        <v>68</v>
      </c>
      <c r="B21" s="14">
        <v>46112</v>
      </c>
      <c r="C21" s="8">
        <v>178650</v>
      </c>
      <c r="D21" s="2">
        <v>29440</v>
      </c>
      <c r="E21" s="2">
        <v>154288</v>
      </c>
      <c r="F21" s="2">
        <v>2024</v>
      </c>
      <c r="G21" s="2">
        <v>90828</v>
      </c>
      <c r="H21" s="2">
        <v>92852</v>
      </c>
      <c r="I21" s="2">
        <v>9176</v>
      </c>
      <c r="J21" s="20">
        <v>72.590985304270632</v>
      </c>
      <c r="K21" s="21">
        <v>0.31706371429802266</v>
      </c>
      <c r="L21" s="21">
        <v>0.39220082203879209</v>
      </c>
      <c r="M21" s="28">
        <f>IF(OR(C21="",D21=""),"",D21/C21)</f>
        <v>0.16479149174363281</v>
      </c>
      <c r="N21" s="28">
        <f>IF(OR(D21="",E21=""),"",D21/E21)</f>
        <v>0.19081198797054857</v>
      </c>
      <c r="O21" s="29">
        <f t="shared" si="0"/>
        <v>9.8823934864084778E-2</v>
      </c>
    </row>
    <row r="22" spans="1:15" x14ac:dyDescent="0.3">
      <c r="A22" s="2" t="s">
        <v>69</v>
      </c>
      <c r="B22" s="14">
        <v>42825</v>
      </c>
      <c r="C22" s="8">
        <v>47568</v>
      </c>
      <c r="D22" s="2">
        <v>8606</v>
      </c>
      <c r="E22" s="2">
        <v>45762</v>
      </c>
      <c r="F22" s="2">
        <v>285</v>
      </c>
      <c r="G22" s="2">
        <v>32664</v>
      </c>
      <c r="H22" s="2">
        <v>32949</v>
      </c>
      <c r="I22" s="2">
        <v>582</v>
      </c>
      <c r="J22" s="20">
        <v>30.158396411550321</v>
      </c>
      <c r="K22" s="21">
        <v>0.26119153843819237</v>
      </c>
      <c r="L22" s="27"/>
      <c r="M22" s="28">
        <f>IF(OR(C22="",D22=""),"",D22/C22)</f>
        <v>0.18091994618230745</v>
      </c>
      <c r="N22" s="28">
        <f>IF(OR(D22="",E22=""),"",D22/E22)</f>
        <v>0.18805996241423015</v>
      </c>
      <c r="O22" s="29">
        <f t="shared" si="0"/>
        <v>1.766366202312665E-2</v>
      </c>
    </row>
    <row r="23" spans="1:15" x14ac:dyDescent="0.3">
      <c r="A23" s="2" t="s">
        <v>69</v>
      </c>
      <c r="B23" s="14">
        <v>43190</v>
      </c>
      <c r="C23" s="8">
        <v>50569</v>
      </c>
      <c r="D23" s="2">
        <v>8721</v>
      </c>
      <c r="E23" s="2">
        <v>47989</v>
      </c>
      <c r="F23" s="2">
        <v>278</v>
      </c>
      <c r="G23" s="2">
        <v>36108</v>
      </c>
      <c r="H23" s="2">
        <v>36386</v>
      </c>
      <c r="I23" s="2">
        <v>557</v>
      </c>
      <c r="J23" s="20">
        <v>31.319806069312264</v>
      </c>
      <c r="K23" s="21">
        <v>0.23968009674050458</v>
      </c>
      <c r="L23" s="21">
        <v>0.31481113602179528</v>
      </c>
      <c r="M23" s="28">
        <f>IF(OR(C23="",D23=""),"",D23/C23)</f>
        <v>0.17245743439656708</v>
      </c>
      <c r="N23" s="28">
        <f>IF(OR(D23="",E23=""),"",D23/E23)</f>
        <v>0.18172914626268519</v>
      </c>
      <c r="O23" s="29">
        <f t="shared" si="0"/>
        <v>1.5308085527400648E-2</v>
      </c>
    </row>
    <row r="24" spans="1:15" x14ac:dyDescent="0.3">
      <c r="A24" s="2" t="s">
        <v>69</v>
      </c>
      <c r="B24" s="14">
        <v>43555</v>
      </c>
      <c r="C24" s="8">
        <v>60427</v>
      </c>
      <c r="D24" s="2">
        <v>10120</v>
      </c>
      <c r="E24" s="2">
        <v>58349</v>
      </c>
      <c r="F24" s="2">
        <v>271</v>
      </c>
      <c r="G24" s="2">
        <v>41095</v>
      </c>
      <c r="H24" s="2">
        <v>41366</v>
      </c>
      <c r="I24" s="2">
        <v>4195</v>
      </c>
      <c r="J24" s="20">
        <v>37.307380373073805</v>
      </c>
      <c r="K24" s="21">
        <v>0.2446453609244307</v>
      </c>
      <c r="L24" s="21">
        <v>0.31019102104140406</v>
      </c>
      <c r="M24" s="28">
        <f>IF(OR(C24="",D24=""),"",D24/C24)</f>
        <v>0.16747480430933193</v>
      </c>
      <c r="N24" s="28">
        <f>IF(OR(D24="",E24=""),"",D24/E24)</f>
        <v>0.17343913348986273</v>
      </c>
      <c r="O24" s="29">
        <f t="shared" si="0"/>
        <v>0.10141178745829908</v>
      </c>
    </row>
    <row r="25" spans="1:15" x14ac:dyDescent="0.3">
      <c r="A25" s="2" t="s">
        <v>69</v>
      </c>
      <c r="B25" s="14">
        <v>43921</v>
      </c>
      <c r="C25" s="8">
        <v>70676</v>
      </c>
      <c r="D25" s="2">
        <v>11057</v>
      </c>
      <c r="E25" s="2">
        <v>82819</v>
      </c>
      <c r="F25" s="2">
        <v>543</v>
      </c>
      <c r="G25" s="2">
        <v>50724</v>
      </c>
      <c r="H25" s="2">
        <v>51267</v>
      </c>
      <c r="I25" s="2">
        <v>7986</v>
      </c>
      <c r="J25" s="20">
        <v>40.745108154917638</v>
      </c>
      <c r="K25" s="21">
        <v>0.2156748005539626</v>
      </c>
      <c r="L25" s="21">
        <v>0.27639437479725992</v>
      </c>
      <c r="M25" s="28">
        <f>IF(OR(C25="",D25=""),"",D25/C25)</f>
        <v>0.15644631841077594</v>
      </c>
      <c r="N25" s="28">
        <f>IF(OR(D25="",E25=""),"",D25/E25)</f>
        <v>0.13350801144664873</v>
      </c>
      <c r="O25" s="29">
        <f t="shared" si="0"/>
        <v>0.15577271929311254</v>
      </c>
    </row>
    <row r="26" spans="1:15" x14ac:dyDescent="0.3">
      <c r="A26" s="2" t="s">
        <v>69</v>
      </c>
      <c r="B26" s="14">
        <v>44286</v>
      </c>
      <c r="C26" s="8">
        <v>75379</v>
      </c>
      <c r="D26" s="2">
        <v>11145</v>
      </c>
      <c r="E26" s="2">
        <v>86047</v>
      </c>
      <c r="F26" s="2">
        <v>543</v>
      </c>
      <c r="G26" s="2">
        <v>59370</v>
      </c>
      <c r="H26" s="2">
        <v>59913</v>
      </c>
      <c r="I26" s="2">
        <v>6864</v>
      </c>
      <c r="J26" s="20">
        <v>41.069388657552416</v>
      </c>
      <c r="K26" s="21">
        <v>0.18601972860647939</v>
      </c>
      <c r="L26" s="21">
        <v>0.25968420217408555</v>
      </c>
      <c r="M26" s="28">
        <f>IF(OR(C26="",D26=""),"",D26/C26)</f>
        <v>0.14785285026333594</v>
      </c>
      <c r="N26" s="28">
        <f>IF(OR(D26="",E26=""),"",D26/E26)</f>
        <v>0.12952223784675818</v>
      </c>
      <c r="O26" s="29">
        <f t="shared" si="0"/>
        <v>0.11456612087526914</v>
      </c>
    </row>
    <row r="27" spans="1:15" x14ac:dyDescent="0.3">
      <c r="A27" s="2" t="s">
        <v>69</v>
      </c>
      <c r="B27" s="14">
        <v>44651</v>
      </c>
      <c r="C27" s="8">
        <v>85651</v>
      </c>
      <c r="D27" s="2">
        <v>13499</v>
      </c>
      <c r="E27" s="2">
        <v>88921</v>
      </c>
      <c r="F27" s="2">
        <v>543</v>
      </c>
      <c r="G27" s="2">
        <v>61371</v>
      </c>
      <c r="H27" s="2">
        <v>61914</v>
      </c>
      <c r="I27" s="2">
        <v>6343</v>
      </c>
      <c r="J27" s="20">
        <v>49.743892103032756</v>
      </c>
      <c r="K27" s="21">
        <v>0.21802823270988791</v>
      </c>
      <c r="L27" s="21">
        <v>0.2557874313135951</v>
      </c>
      <c r="M27" s="28">
        <f>IF(OR(C27="",D27=""),"",D27/C27)</f>
        <v>0.15760469813545669</v>
      </c>
      <c r="N27" s="28">
        <f>IF(OR(D27="",E27=""),"",D27/E27)</f>
        <v>0.15180890903161234</v>
      </c>
      <c r="O27" s="29">
        <f t="shared" si="0"/>
        <v>0.10244855767677746</v>
      </c>
    </row>
    <row r="28" spans="1:15" x14ac:dyDescent="0.3">
      <c r="A28" s="2" t="s">
        <v>69</v>
      </c>
      <c r="B28" s="14">
        <v>45016</v>
      </c>
      <c r="C28" s="8">
        <v>101456</v>
      </c>
      <c r="D28" s="2">
        <v>14851</v>
      </c>
      <c r="E28" s="2">
        <v>93250</v>
      </c>
      <c r="F28" s="2">
        <v>543</v>
      </c>
      <c r="G28" s="2">
        <v>64862</v>
      </c>
      <c r="H28" s="2">
        <v>65405</v>
      </c>
      <c r="I28" s="2">
        <v>4794</v>
      </c>
      <c r="J28" s="20">
        <v>54.726019825330731</v>
      </c>
      <c r="K28" s="21">
        <v>0.22706215121168105</v>
      </c>
      <c r="L28" s="21">
        <v>0.28660368636967704</v>
      </c>
      <c r="M28" s="28">
        <f>IF(OR(C28="",D28=""),"",D28/C28)</f>
        <v>0.14637872575303579</v>
      </c>
      <c r="N28" s="28">
        <f>IF(OR(D28="",E28=""),"",D28/E28)</f>
        <v>0.15926005361930295</v>
      </c>
      <c r="O28" s="29">
        <f t="shared" si="0"/>
        <v>7.3297148536044646E-2</v>
      </c>
    </row>
    <row r="29" spans="1:15" x14ac:dyDescent="0.3">
      <c r="A29" s="2" t="s">
        <v>69</v>
      </c>
      <c r="B29" s="14">
        <v>45382</v>
      </c>
      <c r="C29" s="8">
        <v>109913</v>
      </c>
      <c r="D29" s="2">
        <v>15702</v>
      </c>
      <c r="E29" s="2">
        <v>99006</v>
      </c>
      <c r="F29" s="2">
        <v>543</v>
      </c>
      <c r="G29" s="2">
        <v>67720</v>
      </c>
      <c r="H29" s="2">
        <v>68263</v>
      </c>
      <c r="I29" s="2">
        <v>5756</v>
      </c>
      <c r="J29" s="20">
        <v>57.861959686037515</v>
      </c>
      <c r="K29" s="21">
        <v>0.2300221203287286</v>
      </c>
      <c r="L29" s="21">
        <v>0.29843708829688387</v>
      </c>
      <c r="M29" s="28">
        <f>IF(OR(C29="",D29=""),"",D29/C29)</f>
        <v>0.14285844258640926</v>
      </c>
      <c r="N29" s="28">
        <f>IF(OR(D29="",E29=""),"",D29/E29)</f>
        <v>0.15859644870007877</v>
      </c>
      <c r="O29" s="29">
        <f t="shared" si="0"/>
        <v>8.4320935206480818E-2</v>
      </c>
    </row>
    <row r="30" spans="1:15" x14ac:dyDescent="0.3">
      <c r="A30" s="2" t="s">
        <v>69</v>
      </c>
      <c r="B30" s="14">
        <v>45747</v>
      </c>
      <c r="C30" s="8">
        <v>117055</v>
      </c>
      <c r="D30" s="2">
        <v>17390</v>
      </c>
      <c r="E30" s="2">
        <v>104480</v>
      </c>
      <c r="F30" s="2">
        <v>543</v>
      </c>
      <c r="G30" s="2">
        <v>69112</v>
      </c>
      <c r="H30" s="2">
        <v>69655</v>
      </c>
      <c r="I30" s="2">
        <v>6276</v>
      </c>
      <c r="J30" s="20">
        <v>64.082249327486451</v>
      </c>
      <c r="K30" s="21">
        <v>0.24965903380948962</v>
      </c>
      <c r="L30" s="21">
        <v>0.31883961320440146</v>
      </c>
      <c r="M30" s="28">
        <f>IF(OR(C30="",D30=""),"",D30/C30)</f>
        <v>0.14856264149331511</v>
      </c>
      <c r="N30" s="28">
        <f>IF(OR(D30="",E30=""),"",D30/E30)</f>
        <v>0.16644333843797857</v>
      </c>
      <c r="O30" s="29">
        <f t="shared" si="0"/>
        <v>9.0101213121814655E-2</v>
      </c>
    </row>
    <row r="31" spans="1:15" x14ac:dyDescent="0.3">
      <c r="A31" s="2" t="s">
        <v>69</v>
      </c>
      <c r="B31" s="14">
        <v>46112</v>
      </c>
      <c r="C31" s="8">
        <v>130144</v>
      </c>
      <c r="D31" s="2">
        <v>16642</v>
      </c>
      <c r="E31" s="2">
        <v>116258</v>
      </c>
      <c r="F31" s="2">
        <v>543</v>
      </c>
      <c r="G31" s="2">
        <v>74622</v>
      </c>
      <c r="H31" s="2">
        <v>75165</v>
      </c>
      <c r="I31" s="2">
        <v>5215</v>
      </c>
      <c r="J31" s="20">
        <v>61.325865055090837</v>
      </c>
      <c r="K31" s="21">
        <v>0.22140623960619971</v>
      </c>
      <c r="L31" s="21">
        <v>0.2939140559525561</v>
      </c>
      <c r="M31" s="28">
        <f>IF(OR(C31="",D31=""),"",D31/C31)</f>
        <v>0.12787373985738873</v>
      </c>
      <c r="N31" s="28">
        <f>IF(OR(D31="",E31=""),"",D31/E31)</f>
        <v>0.14314713826145298</v>
      </c>
      <c r="O31" s="29">
        <f t="shared" si="0"/>
        <v>6.9380695802567685E-2</v>
      </c>
    </row>
    <row r="32" spans="1:15" x14ac:dyDescent="0.3">
      <c r="A32" s="2" t="s">
        <v>70</v>
      </c>
      <c r="B32" s="14">
        <v>42825</v>
      </c>
      <c r="C32" s="8">
        <v>55448.4</v>
      </c>
      <c r="D32" s="22">
        <v>8493.1</v>
      </c>
      <c r="E32" s="22">
        <v>78672.2</v>
      </c>
      <c r="F32" s="22">
        <v>486.1</v>
      </c>
      <c r="G32" s="22">
        <v>51184.1</v>
      </c>
      <c r="H32" s="22">
        <v>51670.2</v>
      </c>
      <c r="I32" s="22">
        <v>14241.2</v>
      </c>
      <c r="J32" s="20">
        <v>6.5508916450697274</v>
      </c>
      <c r="K32" s="21">
        <v>0.1643713397664418</v>
      </c>
      <c r="L32" s="27"/>
      <c r="M32" s="28">
        <f>IF(OR(C32="",D32=""),"",D32/C32)</f>
        <v>0.15317123668131091</v>
      </c>
      <c r="N32" s="28">
        <f>IF(OR(D32="",E32=""),"",D32/E32)</f>
        <v>0.10795554211017362</v>
      </c>
      <c r="O32" s="29">
        <f t="shared" si="0"/>
        <v>0.27561728036663302</v>
      </c>
    </row>
    <row r="33" spans="1:15" x14ac:dyDescent="0.3">
      <c r="A33" s="2" t="s">
        <v>70</v>
      </c>
      <c r="B33" s="14">
        <v>43190</v>
      </c>
      <c r="C33" s="8">
        <v>54487.1</v>
      </c>
      <c r="D33" s="22">
        <v>8002.8</v>
      </c>
      <c r="E33" s="22">
        <v>75390.8</v>
      </c>
      <c r="F33" s="22">
        <v>904.8</v>
      </c>
      <c r="G33" s="22">
        <v>47021.5</v>
      </c>
      <c r="H33" s="22">
        <v>47926.3</v>
      </c>
      <c r="I33" s="22">
        <v>13901.2</v>
      </c>
      <c r="J33" s="20">
        <v>6.6338956355949774</v>
      </c>
      <c r="K33" s="21">
        <v>0.16698138600309223</v>
      </c>
      <c r="L33" s="21">
        <v>0.16948948206067221</v>
      </c>
      <c r="M33" s="28">
        <f>IF(OR(C33="",D33=""),"",D33/C33)</f>
        <v>0.14687513191195714</v>
      </c>
      <c r="N33" s="28">
        <f>IF(OR(D33="",E33=""),"",D33/E33)</f>
        <v>0.10615088313162879</v>
      </c>
      <c r="O33" s="29">
        <f t="shared" si="0"/>
        <v>0.29005368659796393</v>
      </c>
    </row>
    <row r="34" spans="1:15" x14ac:dyDescent="0.3">
      <c r="A34" s="2" t="s">
        <v>70</v>
      </c>
      <c r="B34" s="14">
        <v>43555</v>
      </c>
      <c r="C34" s="8">
        <v>59018.9</v>
      </c>
      <c r="D34" s="22">
        <v>9003.7000000000007</v>
      </c>
      <c r="E34" s="22">
        <v>82586.399999999994</v>
      </c>
      <c r="F34" s="22">
        <v>1206.8</v>
      </c>
      <c r="G34" s="22">
        <v>55215.8</v>
      </c>
      <c r="H34" s="22">
        <v>56422.600000000006</v>
      </c>
      <c r="I34" s="22">
        <v>9946.7000000000007</v>
      </c>
      <c r="J34" s="20">
        <v>7.4608672594237611</v>
      </c>
      <c r="K34" s="21">
        <v>0.15957612729650883</v>
      </c>
      <c r="L34" s="21">
        <v>0.19157576476167892</v>
      </c>
      <c r="M34" s="28">
        <f>IF(OR(C34="",D34=""),"",D34/C34)</f>
        <v>0.15255621504297776</v>
      </c>
      <c r="N34" s="28">
        <f>IF(OR(D34="",E34=""),"",D34/E34)</f>
        <v>0.10902158224598725</v>
      </c>
      <c r="O34" s="29">
        <f t="shared" si="0"/>
        <v>0.17628928833481619</v>
      </c>
    </row>
    <row r="35" spans="1:15" x14ac:dyDescent="0.3">
      <c r="A35" s="2" t="s">
        <v>70</v>
      </c>
      <c r="B35" s="14">
        <v>43921</v>
      </c>
      <c r="C35" s="8">
        <v>61137.599999999999</v>
      </c>
      <c r="D35" s="22">
        <v>9722.2999999999993</v>
      </c>
      <c r="E35" s="22">
        <v>80999.600000000006</v>
      </c>
      <c r="F35" s="22">
        <v>1142.7</v>
      </c>
      <c r="G35" s="22">
        <v>54179</v>
      </c>
      <c r="H35" s="22">
        <v>55321.7</v>
      </c>
      <c r="I35" s="22">
        <v>9724</v>
      </c>
      <c r="J35" s="20">
        <v>8.5084057514417974</v>
      </c>
      <c r="K35" s="21">
        <v>0.17574116485935898</v>
      </c>
      <c r="L35" s="21">
        <v>0.19761366662861923</v>
      </c>
      <c r="M35" s="28">
        <f>IF(OR(C35="",D35=""),"",D35/C35)</f>
        <v>0.15902325246656721</v>
      </c>
      <c r="N35" s="28">
        <f>IF(OR(D35="",E35=""),"",D35/E35)</f>
        <v>0.12002898779747059</v>
      </c>
      <c r="O35" s="29">
        <f t="shared" si="0"/>
        <v>0.17577189421149386</v>
      </c>
    </row>
    <row r="36" spans="1:15" x14ac:dyDescent="0.3">
      <c r="A36" s="2" t="s">
        <v>70</v>
      </c>
      <c r="B36" s="14">
        <v>44286</v>
      </c>
      <c r="C36" s="8">
        <v>61934.9</v>
      </c>
      <c r="D36" s="22">
        <v>10796.4</v>
      </c>
      <c r="E36" s="22">
        <v>82565.8</v>
      </c>
      <c r="F36" s="22">
        <v>1095.8</v>
      </c>
      <c r="G36" s="22">
        <v>53805.2</v>
      </c>
      <c r="H36" s="22">
        <v>54901</v>
      </c>
      <c r="I36" s="22">
        <v>10451.4</v>
      </c>
      <c r="J36" s="20">
        <v>9.8522581057280778</v>
      </c>
      <c r="K36" s="21">
        <v>0.196652155698439</v>
      </c>
      <c r="L36" s="21">
        <v>0.22104156425592089</v>
      </c>
      <c r="M36" s="28">
        <f>IF(OR(C36="",D36=""),"",D36/C36)</f>
        <v>0.17431851831519868</v>
      </c>
      <c r="N36" s="28">
        <f>IF(OR(D36="",E36=""),"",D36/E36)</f>
        <v>0.13076116261212267</v>
      </c>
      <c r="O36" s="29">
        <f t="shared" si="0"/>
        <v>0.19036811715633595</v>
      </c>
    </row>
    <row r="37" spans="1:15" x14ac:dyDescent="0.3">
      <c r="A37" s="2" t="s">
        <v>70</v>
      </c>
      <c r="B37" s="14">
        <v>44651</v>
      </c>
      <c r="C37" s="8">
        <v>79312</v>
      </c>
      <c r="D37" s="22">
        <v>12229.6</v>
      </c>
      <c r="E37" s="22">
        <v>107275.6</v>
      </c>
      <c r="F37" s="22">
        <v>1096.4000000000001</v>
      </c>
      <c r="G37" s="22">
        <v>64306.6</v>
      </c>
      <c r="H37" s="22">
        <v>65403</v>
      </c>
      <c r="I37" s="22">
        <v>17592.900000000001</v>
      </c>
      <c r="J37" s="20">
        <v>11.154221504729071</v>
      </c>
      <c r="K37" s="21">
        <v>0.18698836444811401</v>
      </c>
      <c r="L37" s="21">
        <v>0.21130407291489017</v>
      </c>
      <c r="M37" s="28">
        <f>IF(OR(C37="",D37=""),"",D37/C37)</f>
        <v>0.15419608634254589</v>
      </c>
      <c r="N37" s="28">
        <f>IF(OR(D37="",E37=""),"",D37/E37)</f>
        <v>0.11400169283602235</v>
      </c>
      <c r="O37" s="29">
        <f t="shared" si="0"/>
        <v>0.26899224806201555</v>
      </c>
    </row>
    <row r="38" spans="1:15" x14ac:dyDescent="0.3">
      <c r="A38" s="2" t="s">
        <v>70</v>
      </c>
      <c r="B38" s="14">
        <v>45016</v>
      </c>
      <c r="C38" s="8">
        <v>90487.6</v>
      </c>
      <c r="D38" s="22">
        <v>11350</v>
      </c>
      <c r="E38" s="22">
        <v>116923.7</v>
      </c>
      <c r="F38" s="22">
        <v>1097.5999999999999</v>
      </c>
      <c r="G38" s="22">
        <v>76570.3</v>
      </c>
      <c r="H38" s="22">
        <v>77667.900000000009</v>
      </c>
      <c r="I38" s="22">
        <v>17466.599999999999</v>
      </c>
      <c r="J38" s="20">
        <v>10.340931868292062</v>
      </c>
      <c r="K38" s="21">
        <v>0.14613501845678845</v>
      </c>
      <c r="L38" s="21">
        <v>0.17709947319491789</v>
      </c>
      <c r="M38" s="28">
        <f>IF(OR(C38="",D38=""),"",D38/C38)</f>
        <v>0.12543155084232535</v>
      </c>
      <c r="N38" s="28">
        <f>IF(OR(D38="",E38=""),"",D38/E38)</f>
        <v>9.7071851130267006E-2</v>
      </c>
      <c r="O38" s="29">
        <f t="shared" si="0"/>
        <v>0.22488827430637362</v>
      </c>
    </row>
    <row r="39" spans="1:15" x14ac:dyDescent="0.3">
      <c r="A39" s="2" t="s">
        <v>70</v>
      </c>
      <c r="B39" s="14">
        <v>45382</v>
      </c>
      <c r="C39" s="8">
        <v>89760.3</v>
      </c>
      <c r="D39" s="22">
        <v>11045.2</v>
      </c>
      <c r="E39" s="22">
        <v>114608.9</v>
      </c>
      <c r="F39" s="22">
        <v>1045</v>
      </c>
      <c r="G39" s="22">
        <v>73488</v>
      </c>
      <c r="H39" s="22">
        <v>74533</v>
      </c>
      <c r="I39" s="22">
        <v>16464.900000000001</v>
      </c>
      <c r="J39" s="20">
        <v>10.569265954087443</v>
      </c>
      <c r="K39" s="21">
        <v>0.14819207599318424</v>
      </c>
      <c r="L39" s="21">
        <v>0.17166490089850023</v>
      </c>
      <c r="M39" s="28">
        <f>IF(OR(C39="",D39=""),"",D39/C39)</f>
        <v>0.12305217339959872</v>
      </c>
      <c r="N39" s="28">
        <f>IF(OR(D39="",E39=""),"",D39/E39)</f>
        <v>9.6372969289470548E-2</v>
      </c>
      <c r="O39" s="29">
        <f t="shared" si="0"/>
        <v>0.22090751747548068</v>
      </c>
    </row>
    <row r="40" spans="1:15" x14ac:dyDescent="0.3">
      <c r="A40" s="2" t="s">
        <v>70</v>
      </c>
      <c r="B40" s="14">
        <v>45747</v>
      </c>
      <c r="C40" s="8">
        <v>89088.4</v>
      </c>
      <c r="D40" s="22">
        <v>13135.4</v>
      </c>
      <c r="E40" s="22">
        <v>127929.1</v>
      </c>
      <c r="F40" s="22">
        <v>2094.4</v>
      </c>
      <c r="G40" s="22">
        <v>80269.7</v>
      </c>
      <c r="H40" s="22">
        <v>82364.099999999991</v>
      </c>
      <c r="I40" s="22">
        <v>19203.5</v>
      </c>
      <c r="J40" s="20">
        <v>12.543233926337601</v>
      </c>
      <c r="K40" s="21">
        <v>0.15947967621815817</v>
      </c>
      <c r="L40" s="21">
        <v>0.19705191220649598</v>
      </c>
      <c r="M40" s="28">
        <f>IF(OR(C40="",D40=""),"",D40/C40)</f>
        <v>0.14744231572236116</v>
      </c>
      <c r="N40" s="28">
        <f>IF(OR(D40="",E40=""),"",D40/E40)</f>
        <v>0.10267718603507724</v>
      </c>
      <c r="O40" s="29">
        <f t="shared" si="0"/>
        <v>0.23315376480772573</v>
      </c>
    </row>
    <row r="41" spans="1:15" x14ac:dyDescent="0.3">
      <c r="A41" s="2" t="s">
        <v>70</v>
      </c>
      <c r="B41" s="14">
        <v>46112</v>
      </c>
      <c r="C41" s="8">
        <v>92624</v>
      </c>
      <c r="D41" s="22">
        <v>13197.4</v>
      </c>
      <c r="E41" s="22">
        <v>140883.5</v>
      </c>
      <c r="F41" s="22">
        <v>2097.6999999999998</v>
      </c>
      <c r="G41" s="22">
        <v>85920.6</v>
      </c>
      <c r="H41" s="22">
        <v>88018.3</v>
      </c>
      <c r="I41" s="22">
        <v>20291</v>
      </c>
      <c r="J41" s="20">
        <v>12.58285343808398</v>
      </c>
      <c r="K41" s="21">
        <v>0.14993927399188578</v>
      </c>
      <c r="L41" s="21">
        <v>0.17915168367743189</v>
      </c>
      <c r="M41" s="28">
        <f>IF(OR(C41="",D41=""),"",D41/C41)</f>
        <v>0.14248358956641907</v>
      </c>
      <c r="N41" s="28">
        <f>IF(OR(D41="",E41=""),"",D41/E41)</f>
        <v>9.3675980508718198E-2</v>
      </c>
      <c r="O41" s="29">
        <f t="shared" si="0"/>
        <v>0.23053160535934003</v>
      </c>
    </row>
    <row r="42" spans="1:15" x14ac:dyDescent="0.3">
      <c r="A42" s="2" t="s">
        <v>71</v>
      </c>
      <c r="B42" s="14">
        <v>42825</v>
      </c>
      <c r="C42" s="8">
        <v>29140.799999999999</v>
      </c>
      <c r="D42" s="22">
        <v>2812.9</v>
      </c>
      <c r="E42" s="22">
        <v>26057</v>
      </c>
      <c r="F42" s="22">
        <v>438.8</v>
      </c>
      <c r="G42" s="22">
        <v>15998.4</v>
      </c>
      <c r="H42" s="22">
        <v>16437.2</v>
      </c>
      <c r="I42" s="2">
        <v>1366.2</v>
      </c>
      <c r="J42" s="20">
        <v>28.876912021353046</v>
      </c>
      <c r="K42" s="21">
        <v>0.17113011948507045</v>
      </c>
      <c r="L42" s="27"/>
      <c r="M42" s="28">
        <f>IF(OR(C42="",D42=""),"",D42/C42)</f>
        <v>9.6527892164937137E-2</v>
      </c>
      <c r="N42" s="28">
        <f>IF(OR(D42="",E42=""),"",D42/E42)</f>
        <v>0.10795179798134859</v>
      </c>
      <c r="O42" s="29">
        <f t="shared" si="0"/>
        <v>8.3116345849658088E-2</v>
      </c>
    </row>
    <row r="43" spans="1:15" x14ac:dyDescent="0.3">
      <c r="A43" s="2" t="s">
        <v>71</v>
      </c>
      <c r="B43" s="14">
        <v>43190</v>
      </c>
      <c r="C43" s="8">
        <v>30772.9</v>
      </c>
      <c r="D43" s="22">
        <v>3799.8</v>
      </c>
      <c r="E43" s="22">
        <v>30431.4</v>
      </c>
      <c r="F43" s="22">
        <v>441.7</v>
      </c>
      <c r="G43" s="22">
        <v>18401.099999999999</v>
      </c>
      <c r="H43" s="22">
        <v>18842.8</v>
      </c>
      <c r="I43" s="2">
        <v>2396.6</v>
      </c>
      <c r="J43" s="20">
        <v>38.785342451770951</v>
      </c>
      <c r="K43" s="21">
        <v>0.20165792769652072</v>
      </c>
      <c r="L43" s="21">
        <v>0.25823967543311444</v>
      </c>
      <c r="M43" s="28">
        <f>IF(OR(C43="",D43=""),"",D43/C43)</f>
        <v>0.12347877515606263</v>
      </c>
      <c r="N43" s="28">
        <f>IF(OR(D43="",E43=""),"",D43/E43)</f>
        <v>0.12486444922021334</v>
      </c>
      <c r="O43" s="29">
        <f t="shared" si="0"/>
        <v>0.12718916509223682</v>
      </c>
    </row>
    <row r="44" spans="1:15" x14ac:dyDescent="0.3">
      <c r="A44" s="2" t="s">
        <v>71</v>
      </c>
      <c r="B44" s="14">
        <v>43555</v>
      </c>
      <c r="C44" s="8">
        <v>34742.1</v>
      </c>
      <c r="D44" s="22">
        <v>4297.6000000000004</v>
      </c>
      <c r="E44" s="22">
        <v>33445.800000000003</v>
      </c>
      <c r="F44" s="22">
        <v>443.7</v>
      </c>
      <c r="G44" s="22">
        <v>19840.7</v>
      </c>
      <c r="H44" s="22">
        <v>20284.400000000001</v>
      </c>
      <c r="I44" s="2">
        <v>1995.5</v>
      </c>
      <c r="J44" s="20">
        <v>43.701443969900346</v>
      </c>
      <c r="K44" s="21">
        <v>0.21186724773717733</v>
      </c>
      <c r="L44" s="21">
        <v>0.26086816653760514</v>
      </c>
      <c r="M44" s="28">
        <f>IF(OR(C44="",D44=""),"",D44/C44)</f>
        <v>0.1237000641872541</v>
      </c>
      <c r="N44" s="28">
        <f>IF(OR(D44="",E44=""),"",D44/E44)</f>
        <v>0.12849445969299583</v>
      </c>
      <c r="O44" s="29">
        <f t="shared" si="0"/>
        <v>9.8376091972155938E-2</v>
      </c>
    </row>
    <row r="45" spans="1:15" x14ac:dyDescent="0.3">
      <c r="A45" s="2" t="s">
        <v>71</v>
      </c>
      <c r="B45" s="14">
        <v>43921</v>
      </c>
      <c r="C45" s="8">
        <v>36867.699999999997</v>
      </c>
      <c r="D45" s="22">
        <v>4033</v>
      </c>
      <c r="E45" s="22">
        <v>37317.9</v>
      </c>
      <c r="F45" s="22">
        <v>435.9</v>
      </c>
      <c r="G45" s="22">
        <v>21377.200000000001</v>
      </c>
      <c r="H45" s="22">
        <v>21813.100000000002</v>
      </c>
      <c r="I45" s="2">
        <v>3670.5</v>
      </c>
      <c r="J45" s="20">
        <v>41.753804741691688</v>
      </c>
      <c r="K45" s="21">
        <v>0.1848888970389353</v>
      </c>
      <c r="L45" s="21">
        <v>0.21982057428789764</v>
      </c>
      <c r="M45" s="28">
        <f>IF(OR(C45="",D45=""),"",D45/C45)</f>
        <v>0.1093911472644076</v>
      </c>
      <c r="N45" s="28">
        <f>IF(OR(D45="",E45=""),"",D45/E45)</f>
        <v>0.10807146168460711</v>
      </c>
      <c r="O45" s="29">
        <f t="shared" si="0"/>
        <v>0.16827044299067989</v>
      </c>
    </row>
    <row r="46" spans="1:15" x14ac:dyDescent="0.3">
      <c r="A46" s="2" t="s">
        <v>71</v>
      </c>
      <c r="B46" s="14">
        <v>44286</v>
      </c>
      <c r="C46" s="8">
        <v>37855.1</v>
      </c>
      <c r="D46" s="22">
        <v>4428</v>
      </c>
      <c r="E46" s="22">
        <v>39601.9</v>
      </c>
      <c r="F46" s="22">
        <v>437</v>
      </c>
      <c r="G46" s="22">
        <v>24428</v>
      </c>
      <c r="H46" s="22">
        <v>24865</v>
      </c>
      <c r="I46" s="2">
        <v>2900.8</v>
      </c>
      <c r="J46" s="20">
        <v>45.729629247134156</v>
      </c>
      <c r="K46" s="21">
        <v>0.17808164086064748</v>
      </c>
      <c r="L46" s="21">
        <v>0.23012090277073538</v>
      </c>
      <c r="M46" s="28">
        <f>IF(OR(C46="",D46=""),"",D46/C46)</f>
        <v>0.11697234982868887</v>
      </c>
      <c r="N46" s="28">
        <f>IF(OR(D46="",E46=""),"",D46/E46)</f>
        <v>0.11181281706180764</v>
      </c>
      <c r="O46" s="29">
        <f t="shared" si="0"/>
        <v>0.11666197466318119</v>
      </c>
    </row>
    <row r="47" spans="1:15" x14ac:dyDescent="0.3">
      <c r="A47" s="2" t="s">
        <v>71</v>
      </c>
      <c r="B47" s="14">
        <v>44651</v>
      </c>
      <c r="C47" s="8">
        <v>44646</v>
      </c>
      <c r="D47" s="22">
        <v>5566.1</v>
      </c>
      <c r="E47" s="22">
        <v>44415.5</v>
      </c>
      <c r="F47" s="22">
        <v>438.8</v>
      </c>
      <c r="G47" s="22">
        <v>26446.9</v>
      </c>
      <c r="H47" s="22">
        <v>26885.7</v>
      </c>
      <c r="I47" s="2">
        <v>2618.4</v>
      </c>
      <c r="J47" s="20">
        <v>57.276188516155585</v>
      </c>
      <c r="K47" s="21">
        <v>0.20702827153468201</v>
      </c>
      <c r="L47" s="21">
        <v>0.26592328605427984</v>
      </c>
      <c r="M47" s="28">
        <f>IF(OR(C47="",D47=""),"",D47/C47)</f>
        <v>0.12467186310083771</v>
      </c>
      <c r="N47" s="28">
        <f>IF(OR(D47="",E47=""),"",D47/E47)</f>
        <v>0.12531886391012148</v>
      </c>
      <c r="O47" s="29">
        <f t="shared" si="0"/>
        <v>9.7390062375165981E-2</v>
      </c>
    </row>
    <row r="48" spans="1:15" x14ac:dyDescent="0.3">
      <c r="A48" s="2" t="s">
        <v>71</v>
      </c>
      <c r="B48" s="14">
        <v>45016</v>
      </c>
      <c r="C48" s="8">
        <v>53290.2</v>
      </c>
      <c r="D48" s="22">
        <v>4831.3</v>
      </c>
      <c r="E48" s="22">
        <v>45827.199999999997</v>
      </c>
      <c r="F48" s="22">
        <v>440</v>
      </c>
      <c r="G48" s="22">
        <v>27484.5</v>
      </c>
      <c r="H48" s="22">
        <v>27924.5</v>
      </c>
      <c r="I48" s="2">
        <v>2740.2</v>
      </c>
      <c r="J48" s="20">
        <v>49.597577250795609</v>
      </c>
      <c r="K48" s="21">
        <v>0.17301294562122868</v>
      </c>
      <c r="L48" s="21">
        <v>0.22507013601733789</v>
      </c>
      <c r="M48" s="28">
        <f>IF(OR(C48="",D48=""),"",D48/C48)</f>
        <v>9.06601964338659E-2</v>
      </c>
      <c r="N48" s="28">
        <f>IF(OR(D48="",E48=""),"",D48/E48)</f>
        <v>0.10542428950492286</v>
      </c>
      <c r="O48" s="29">
        <f t="shared" si="0"/>
        <v>9.8128883238733006E-2</v>
      </c>
    </row>
    <row r="49" spans="1:15" x14ac:dyDescent="0.3">
      <c r="A49" s="2" t="s">
        <v>71</v>
      </c>
      <c r="B49" s="14">
        <v>45382</v>
      </c>
      <c r="C49" s="8">
        <v>51995.5</v>
      </c>
      <c r="D49" s="22">
        <v>2357.8000000000002</v>
      </c>
      <c r="E49" s="22">
        <v>43149.1</v>
      </c>
      <c r="F49" s="22">
        <v>441.3</v>
      </c>
      <c r="G49" s="22">
        <v>26228.1</v>
      </c>
      <c r="H49" s="22">
        <v>26669.399999999998</v>
      </c>
      <c r="I49" s="2">
        <v>2536.6999999999998</v>
      </c>
      <c r="J49" s="20">
        <v>24.138001638001636</v>
      </c>
      <c r="K49" s="21">
        <v>8.8408438135091166E-2</v>
      </c>
      <c r="L49" s="21">
        <v>0.12081348503778136</v>
      </c>
      <c r="M49" s="28">
        <f>IF(OR(C49="",D49=""),"",D49/C49)</f>
        <v>4.5346231885451629E-2</v>
      </c>
      <c r="N49" s="28">
        <f>IF(OR(D49="",E49=""),"",D49/E49)</f>
        <v>5.4643086414316873E-2</v>
      </c>
      <c r="O49" s="29">
        <f t="shared" si="0"/>
        <v>9.5116500558692738E-2</v>
      </c>
    </row>
    <row r="50" spans="1:15" x14ac:dyDescent="0.3">
      <c r="A50" s="2" t="s">
        <v>71</v>
      </c>
      <c r="B50" s="14">
        <v>45747</v>
      </c>
      <c r="C50" s="8">
        <v>52988.3</v>
      </c>
      <c r="D50" s="22">
        <v>4251.5</v>
      </c>
      <c r="E50" s="22">
        <v>44266.6</v>
      </c>
      <c r="F50" s="22">
        <v>442.4</v>
      </c>
      <c r="G50" s="22">
        <v>26919.1</v>
      </c>
      <c r="H50" s="22">
        <v>27361.5</v>
      </c>
      <c r="I50" s="2">
        <v>2025.2</v>
      </c>
      <c r="J50" s="20">
        <v>43.426966292134829</v>
      </c>
      <c r="K50" s="21">
        <v>0.15538256309047385</v>
      </c>
      <c r="L50" s="21">
        <v>0.20394655998689259</v>
      </c>
      <c r="M50" s="28">
        <f>IF(OR(C50="",D50=""),"",D50/C50)</f>
        <v>8.0234693319091194E-2</v>
      </c>
      <c r="N50" s="28">
        <f>IF(OR(D50="",E50=""),"",D50/E50)</f>
        <v>9.6043066329919172E-2</v>
      </c>
      <c r="O50" s="29">
        <f t="shared" si="0"/>
        <v>7.4016409919046844E-2</v>
      </c>
    </row>
    <row r="51" spans="1:15" x14ac:dyDescent="0.3">
      <c r="A51" s="2" t="s">
        <v>71</v>
      </c>
      <c r="B51" s="14">
        <v>46112</v>
      </c>
      <c r="C51" s="8">
        <v>56815.4</v>
      </c>
      <c r="D51" s="22">
        <v>4810.8999999999996</v>
      </c>
      <c r="E51" s="22">
        <v>49167.7</v>
      </c>
      <c r="F51" s="22">
        <v>442.8</v>
      </c>
      <c r="G51" s="22">
        <v>29172.6</v>
      </c>
      <c r="H51" s="22">
        <v>29615.399999999998</v>
      </c>
      <c r="I51" s="2">
        <v>2186.1999999999998</v>
      </c>
      <c r="J51" s="20">
        <v>49.100836905490908</v>
      </c>
      <c r="K51" s="21">
        <v>0.1624458896384989</v>
      </c>
      <c r="L51" s="21">
        <v>0.22587651560837613</v>
      </c>
      <c r="M51" s="28">
        <f>IF(OR(C51="",D51=""),"",D51/C51)</f>
        <v>8.4675985736261644E-2</v>
      </c>
      <c r="N51" s="28">
        <f>IF(OR(D51="",E51=""),"",D51/E51)</f>
        <v>9.7846757119002925E-2</v>
      </c>
      <c r="O51" s="29">
        <f t="shared" si="0"/>
        <v>7.3819701911843158E-2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922A-DD8D-4D84-BD3A-6D88F0703C3D}">
  <dimension ref="A1:K93"/>
  <sheetViews>
    <sheetView zoomScale="120" zoomScaleNormal="120" zoomScalePageLayoutView="120" workbookViewId="0">
      <pane xSplit="1" ySplit="1" topLeftCell="B61" activePane="bottomRight" state="frozen"/>
      <selection activeCell="E42" sqref="E42"/>
      <selection pane="topRight" activeCell="E42" sqref="E42"/>
      <selection pane="bottomLeft" activeCell="E42" sqref="E42"/>
      <selection pane="bottomRight" activeCell="A74" sqref="A74"/>
    </sheetView>
  </sheetViews>
  <sheetFormatPr defaultColWidth="8.77734375" defaultRowHeight="14.4" x14ac:dyDescent="0.3"/>
  <cols>
    <col min="1" max="1" width="27.6640625" style="10" bestFit="1" customWidth="1"/>
    <col min="2" max="11" width="13.44140625" style="10" bestFit="1" customWidth="1"/>
    <col min="12" max="16384" width="8.77734375" style="10"/>
  </cols>
  <sheetData>
    <row r="1" spans="1:11" s="5" customFormat="1" x14ac:dyDescent="0.3">
      <c r="A1" s="5" t="s">
        <v>60</v>
      </c>
      <c r="B1" s="5" t="s">
        <v>59</v>
      </c>
      <c r="E1" s="30" t="str">
        <f>IF(B2&lt;&gt;B3, "A NEW VERSION OF THE WORKSHEET IS AVAILABLE", "")</f>
        <v/>
      </c>
      <c r="F1" s="30"/>
      <c r="G1" s="30"/>
      <c r="H1" s="30"/>
      <c r="I1" s="30"/>
      <c r="J1" s="30"/>
      <c r="K1" s="30"/>
    </row>
    <row r="2" spans="1:11" x14ac:dyDescent="0.3">
      <c r="A2" s="5" t="s">
        <v>58</v>
      </c>
      <c r="B2" s="10">
        <v>2.1</v>
      </c>
      <c r="E2" s="31" t="s">
        <v>57</v>
      </c>
      <c r="F2" s="31"/>
      <c r="G2" s="31"/>
      <c r="H2" s="31"/>
      <c r="I2" s="31"/>
      <c r="J2" s="31"/>
      <c r="K2" s="31"/>
    </row>
    <row r="3" spans="1:11" x14ac:dyDescent="0.3">
      <c r="A3" s="5" t="s">
        <v>56</v>
      </c>
      <c r="B3" s="10">
        <v>2.1</v>
      </c>
    </row>
    <row r="4" spans="1:11" x14ac:dyDescent="0.3">
      <c r="A4" s="5"/>
    </row>
    <row r="5" spans="1:11" x14ac:dyDescent="0.3">
      <c r="A5" s="5" t="s">
        <v>55</v>
      </c>
    </row>
    <row r="6" spans="1:11" x14ac:dyDescent="0.3">
      <c r="A6" s="10" t="s">
        <v>54</v>
      </c>
      <c r="B6" s="10">
        <f>IF(B9&gt;0, B9/B8, 0)</f>
        <v>361.80875089562932</v>
      </c>
    </row>
    <row r="7" spans="1:11" x14ac:dyDescent="0.3">
      <c r="A7" s="10" t="s">
        <v>53</v>
      </c>
      <c r="B7">
        <v>1</v>
      </c>
    </row>
    <row r="8" spans="1:11" x14ac:dyDescent="0.3">
      <c r="A8" s="10" t="s">
        <v>52</v>
      </c>
      <c r="B8">
        <v>2093.5</v>
      </c>
    </row>
    <row r="9" spans="1:11" x14ac:dyDescent="0.3">
      <c r="A9" s="10" t="s">
        <v>51</v>
      </c>
      <c r="B9">
        <v>757446.62</v>
      </c>
    </row>
    <row r="15" spans="1:11" x14ac:dyDescent="0.3">
      <c r="A15" s="5" t="s">
        <v>50</v>
      </c>
    </row>
    <row r="16" spans="1:11" s="12" customFormat="1" x14ac:dyDescent="0.3">
      <c r="A16" s="13" t="s">
        <v>25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">
      <c r="A17" s="6" t="s">
        <v>9</v>
      </c>
      <c r="B17">
        <v>117966</v>
      </c>
      <c r="C17">
        <v>123104</v>
      </c>
      <c r="D17">
        <v>146463</v>
      </c>
      <c r="E17">
        <v>156949</v>
      </c>
      <c r="F17">
        <v>164177</v>
      </c>
      <c r="G17">
        <v>191754</v>
      </c>
      <c r="H17">
        <v>225458</v>
      </c>
      <c r="I17">
        <v>240893</v>
      </c>
      <c r="J17">
        <v>255324</v>
      </c>
      <c r="K17">
        <v>267021</v>
      </c>
    </row>
    <row r="18" spans="1:11" s="6" customFormat="1" x14ac:dyDescent="0.3">
      <c r="A18" s="10" t="s">
        <v>49</v>
      </c>
      <c r="B18">
        <v>94</v>
      </c>
      <c r="C18">
        <v>86</v>
      </c>
      <c r="D18">
        <v>40</v>
      </c>
      <c r="E18">
        <v>18</v>
      </c>
      <c r="F18">
        <v>14</v>
      </c>
      <c r="G18">
        <v>29</v>
      </c>
      <c r="H18">
        <v>37</v>
      </c>
      <c r="I18">
        <v>42</v>
      </c>
      <c r="J18">
        <v>49</v>
      </c>
      <c r="K18">
        <v>43</v>
      </c>
    </row>
    <row r="19" spans="1:11" s="6" customFormat="1" x14ac:dyDescent="0.3">
      <c r="A19" s="10" t="s">
        <v>48</v>
      </c>
      <c r="B19">
        <v>1</v>
      </c>
    </row>
    <row r="20" spans="1:11" s="6" customFormat="1" x14ac:dyDescent="0.3">
      <c r="A20" s="10" t="s">
        <v>47</v>
      </c>
    </row>
    <row r="21" spans="1:11" s="6" customFormat="1" x14ac:dyDescent="0.3">
      <c r="A21" s="10" t="s">
        <v>46</v>
      </c>
      <c r="B21">
        <v>2715</v>
      </c>
      <c r="C21">
        <v>2614</v>
      </c>
      <c r="D21">
        <v>2230</v>
      </c>
      <c r="E21">
        <v>1887</v>
      </c>
      <c r="F21">
        <v>1448</v>
      </c>
      <c r="G21">
        <v>1134</v>
      </c>
      <c r="H21">
        <v>1844</v>
      </c>
      <c r="I21">
        <v>3660</v>
      </c>
      <c r="J21">
        <v>11599</v>
      </c>
      <c r="K21">
        <v>4356</v>
      </c>
    </row>
    <row r="22" spans="1:11" s="6" customFormat="1" x14ac:dyDescent="0.3">
      <c r="A22" s="10" t="s">
        <v>45</v>
      </c>
      <c r="B22">
        <v>61621</v>
      </c>
      <c r="C22">
        <v>66396</v>
      </c>
      <c r="D22">
        <v>78246</v>
      </c>
      <c r="E22">
        <v>85952</v>
      </c>
      <c r="F22">
        <v>91814</v>
      </c>
      <c r="G22">
        <v>107554</v>
      </c>
      <c r="H22">
        <v>127522</v>
      </c>
      <c r="I22">
        <v>140131</v>
      </c>
      <c r="J22">
        <v>145788</v>
      </c>
      <c r="K22">
        <v>154994</v>
      </c>
    </row>
    <row r="23" spans="1:11" s="6" customFormat="1" x14ac:dyDescent="0.3">
      <c r="A23" s="10" t="s">
        <v>44</v>
      </c>
      <c r="B23">
        <v>16392</v>
      </c>
      <c r="C23">
        <v>16808</v>
      </c>
      <c r="D23">
        <v>20387</v>
      </c>
      <c r="E23">
        <v>20527</v>
      </c>
      <c r="F23">
        <v>18322</v>
      </c>
      <c r="G23">
        <v>23187</v>
      </c>
      <c r="H23">
        <v>28913</v>
      </c>
      <c r="I23">
        <v>24151</v>
      </c>
      <c r="J23">
        <v>20729</v>
      </c>
      <c r="K23">
        <v>24434</v>
      </c>
    </row>
    <row r="24" spans="1:11" s="6" customFormat="1" x14ac:dyDescent="0.3">
      <c r="A24" s="10" t="s">
        <v>43</v>
      </c>
      <c r="B24">
        <v>4834</v>
      </c>
      <c r="C24">
        <v>4684</v>
      </c>
      <c r="D24">
        <v>6054</v>
      </c>
      <c r="E24">
        <v>6456</v>
      </c>
      <c r="F24">
        <v>6033</v>
      </c>
      <c r="G24">
        <v>6793</v>
      </c>
      <c r="H24">
        <v>7883</v>
      </c>
      <c r="I24">
        <v>8613</v>
      </c>
      <c r="J24">
        <v>9752</v>
      </c>
      <c r="K24">
        <v>10796</v>
      </c>
    </row>
    <row r="25" spans="1:11" s="6" customFormat="1" x14ac:dyDescent="0.3">
      <c r="A25" s="6" t="s">
        <v>12</v>
      </c>
      <c r="B25">
        <v>4221</v>
      </c>
      <c r="C25">
        <v>3642</v>
      </c>
      <c r="D25">
        <v>4311</v>
      </c>
      <c r="E25">
        <v>4592</v>
      </c>
      <c r="F25">
        <v>1916</v>
      </c>
      <c r="G25">
        <v>4018</v>
      </c>
      <c r="H25">
        <v>3449</v>
      </c>
      <c r="I25">
        <v>3464</v>
      </c>
      <c r="J25">
        <v>3962</v>
      </c>
      <c r="K25">
        <v>-124</v>
      </c>
    </row>
    <row r="26" spans="1:11" s="6" customFormat="1" x14ac:dyDescent="0.3">
      <c r="A26" s="6" t="s">
        <v>13</v>
      </c>
      <c r="B26">
        <v>1987</v>
      </c>
      <c r="C26">
        <v>2014</v>
      </c>
      <c r="D26">
        <v>2056</v>
      </c>
      <c r="E26">
        <v>3529</v>
      </c>
      <c r="F26">
        <v>4065</v>
      </c>
      <c r="G26">
        <v>4604</v>
      </c>
      <c r="H26">
        <v>5022</v>
      </c>
      <c r="I26">
        <v>4985</v>
      </c>
      <c r="J26">
        <v>5242</v>
      </c>
      <c r="K26">
        <v>5560</v>
      </c>
    </row>
    <row r="27" spans="1:11" s="6" customFormat="1" x14ac:dyDescent="0.3">
      <c r="A27" s="6" t="s">
        <v>14</v>
      </c>
      <c r="B27">
        <v>32</v>
      </c>
      <c r="C27">
        <v>52</v>
      </c>
      <c r="D27">
        <v>198</v>
      </c>
      <c r="E27">
        <v>924</v>
      </c>
      <c r="F27">
        <v>637</v>
      </c>
      <c r="G27">
        <v>784</v>
      </c>
      <c r="H27">
        <v>779</v>
      </c>
      <c r="I27">
        <v>778</v>
      </c>
      <c r="J27">
        <v>796</v>
      </c>
      <c r="K27">
        <v>1227</v>
      </c>
    </row>
    <row r="28" spans="1:11" s="6" customFormat="1" x14ac:dyDescent="0.3">
      <c r="A28" s="6" t="s">
        <v>15</v>
      </c>
      <c r="B28">
        <v>34513</v>
      </c>
      <c r="C28">
        <v>34092</v>
      </c>
      <c r="D28">
        <v>41563</v>
      </c>
      <c r="E28">
        <v>42248</v>
      </c>
      <c r="F28">
        <v>43760</v>
      </c>
      <c r="G28">
        <v>51687</v>
      </c>
      <c r="H28">
        <v>56907</v>
      </c>
      <c r="I28">
        <v>61997</v>
      </c>
      <c r="J28">
        <v>65331</v>
      </c>
      <c r="K28">
        <v>65487</v>
      </c>
    </row>
    <row r="29" spans="1:11" s="6" customFormat="1" x14ac:dyDescent="0.3">
      <c r="A29" s="6" t="s">
        <v>16</v>
      </c>
      <c r="B29">
        <v>8156</v>
      </c>
      <c r="C29">
        <v>8212</v>
      </c>
      <c r="D29">
        <v>10001</v>
      </c>
      <c r="E29">
        <v>9801</v>
      </c>
      <c r="F29">
        <v>11198</v>
      </c>
      <c r="G29">
        <v>13238</v>
      </c>
      <c r="H29">
        <v>14604</v>
      </c>
      <c r="I29">
        <v>15898</v>
      </c>
      <c r="J29">
        <v>16534</v>
      </c>
      <c r="K29">
        <v>16033</v>
      </c>
    </row>
    <row r="30" spans="1:11" s="6" customFormat="1" x14ac:dyDescent="0.3">
      <c r="A30" s="6" t="s">
        <v>17</v>
      </c>
      <c r="B30">
        <v>26289</v>
      </c>
      <c r="C30">
        <v>25826</v>
      </c>
      <c r="D30">
        <v>31472</v>
      </c>
      <c r="E30">
        <v>32340</v>
      </c>
      <c r="F30">
        <v>32430</v>
      </c>
      <c r="G30">
        <v>38327</v>
      </c>
      <c r="H30">
        <v>42147</v>
      </c>
      <c r="I30">
        <v>45908</v>
      </c>
      <c r="J30">
        <v>48553</v>
      </c>
      <c r="K30">
        <v>49210</v>
      </c>
    </row>
    <row r="31" spans="1:11" s="6" customFormat="1" x14ac:dyDescent="0.3">
      <c r="A31" s="6" t="s">
        <v>42</v>
      </c>
      <c r="B31">
        <v>9259</v>
      </c>
      <c r="C31">
        <v>9550</v>
      </c>
      <c r="D31">
        <v>11250</v>
      </c>
      <c r="E31">
        <v>27375</v>
      </c>
      <c r="F31">
        <v>14060</v>
      </c>
      <c r="G31">
        <v>15738</v>
      </c>
      <c r="H31">
        <v>42090</v>
      </c>
      <c r="I31">
        <v>26426</v>
      </c>
      <c r="J31">
        <v>45612</v>
      </c>
      <c r="K31">
        <v>39820</v>
      </c>
    </row>
    <row r="32" spans="1:11" s="6" customFormat="1" x14ac:dyDescent="0.3">
      <c r="A32" s="6" t="s">
        <v>8</v>
      </c>
      <c r="B32" s="6">
        <v>66.708112360120793</v>
      </c>
      <c r="C32" s="6">
        <v>67.455466750248135</v>
      </c>
      <c r="D32" s="6">
        <v>83.871655473830074</v>
      </c>
      <c r="E32" s="6">
        <v>86.184841701311157</v>
      </c>
      <c r="F32" s="6">
        <v>87.669973777405303</v>
      </c>
      <c r="G32" s="6">
        <v>104.74433603891667</v>
      </c>
      <c r="H32" s="6">
        <v>115.1840616545052</v>
      </c>
      <c r="I32" s="6">
        <v>126.88427627760427</v>
      </c>
      <c r="J32" s="6">
        <v>134.1947430972057</v>
      </c>
      <c r="K32" s="6">
        <v>136.01061330532599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5" t="s">
        <v>41</v>
      </c>
    </row>
    <row r="41" spans="1:11" s="12" customFormat="1" x14ac:dyDescent="0.3">
      <c r="A41" s="13" t="s">
        <v>25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3">
      <c r="A42" s="6" t="s">
        <v>9</v>
      </c>
      <c r="B42">
        <v>60583</v>
      </c>
      <c r="C42">
        <v>61237</v>
      </c>
      <c r="D42">
        <v>62613</v>
      </c>
      <c r="E42">
        <v>64259</v>
      </c>
      <c r="F42" s="23">
        <f>TechM!B61</f>
        <v>26057</v>
      </c>
      <c r="G42">
        <v>64479</v>
      </c>
      <c r="H42">
        <v>63437</v>
      </c>
      <c r="I42">
        <v>65799</v>
      </c>
      <c r="J42">
        <v>67087</v>
      </c>
      <c r="K42">
        <v>70698</v>
      </c>
    </row>
    <row r="43" spans="1:11" s="6" customFormat="1" x14ac:dyDescent="0.3">
      <c r="A43" s="6" t="s">
        <v>10</v>
      </c>
      <c r="B43">
        <v>44195</v>
      </c>
      <c r="C43">
        <v>44073</v>
      </c>
      <c r="D43">
        <v>45951</v>
      </c>
      <c r="E43">
        <v>47528</v>
      </c>
      <c r="F43" s="23">
        <f>TechM!C61</f>
        <v>30431.4</v>
      </c>
      <c r="G43">
        <v>47499</v>
      </c>
      <c r="H43">
        <v>46562</v>
      </c>
      <c r="I43">
        <v>47821</v>
      </c>
      <c r="J43">
        <v>48818</v>
      </c>
      <c r="K43">
        <v>51422</v>
      </c>
    </row>
    <row r="44" spans="1:11" s="6" customFormat="1" x14ac:dyDescent="0.3">
      <c r="A44" s="6" t="s">
        <v>12</v>
      </c>
      <c r="B44">
        <v>-96</v>
      </c>
      <c r="C44">
        <v>1157</v>
      </c>
      <c r="D44">
        <v>962</v>
      </c>
      <c r="E44">
        <v>729</v>
      </c>
      <c r="F44" s="23">
        <f>TechM!D61</f>
        <v>33445.800000000003</v>
      </c>
      <c r="G44">
        <v>1028</v>
      </c>
      <c r="H44">
        <v>1660</v>
      </c>
      <c r="I44">
        <v>-268</v>
      </c>
      <c r="J44">
        <v>-2273</v>
      </c>
      <c r="K44">
        <v>757</v>
      </c>
    </row>
    <row r="45" spans="1:11" s="6" customFormat="1" x14ac:dyDescent="0.3">
      <c r="A45" s="6" t="s">
        <v>13</v>
      </c>
      <c r="B45">
        <v>1233</v>
      </c>
      <c r="C45">
        <v>1246</v>
      </c>
      <c r="D45">
        <v>1220</v>
      </c>
      <c r="E45">
        <v>1266</v>
      </c>
      <c r="F45" s="23">
        <f>TechM!E61</f>
        <v>37317.9</v>
      </c>
      <c r="G45">
        <v>1379</v>
      </c>
      <c r="H45">
        <v>1361</v>
      </c>
      <c r="I45">
        <v>1413</v>
      </c>
      <c r="J45">
        <v>1380</v>
      </c>
      <c r="K45">
        <v>1406</v>
      </c>
    </row>
    <row r="46" spans="1:11" s="6" customFormat="1" x14ac:dyDescent="0.3">
      <c r="A46" s="6" t="s">
        <v>14</v>
      </c>
      <c r="B46">
        <v>230</v>
      </c>
      <c r="C46">
        <v>226</v>
      </c>
      <c r="D46">
        <v>173</v>
      </c>
      <c r="E46">
        <v>162</v>
      </c>
      <c r="F46" s="23">
        <f>TechM!F61</f>
        <v>39601.9</v>
      </c>
      <c r="G46">
        <v>227</v>
      </c>
      <c r="H46">
        <v>195</v>
      </c>
      <c r="I46">
        <v>229</v>
      </c>
      <c r="J46">
        <v>538</v>
      </c>
      <c r="K46">
        <v>265</v>
      </c>
    </row>
    <row r="47" spans="1:11" s="6" customFormat="1" x14ac:dyDescent="0.3">
      <c r="A47" s="6" t="s">
        <v>15</v>
      </c>
      <c r="B47">
        <v>14829</v>
      </c>
      <c r="C47">
        <v>16849</v>
      </c>
      <c r="D47">
        <v>16231</v>
      </c>
      <c r="E47">
        <v>16032</v>
      </c>
      <c r="F47" s="23">
        <f>TechM!G61</f>
        <v>44415.5</v>
      </c>
      <c r="G47">
        <v>16402</v>
      </c>
      <c r="H47">
        <v>16979</v>
      </c>
      <c r="I47">
        <v>16068</v>
      </c>
      <c r="J47">
        <v>14078</v>
      </c>
      <c r="K47">
        <v>18362</v>
      </c>
    </row>
    <row r="48" spans="1:11" s="6" customFormat="1" x14ac:dyDescent="0.3">
      <c r="A48" s="6" t="s">
        <v>16</v>
      </c>
      <c r="B48">
        <v>3732</v>
      </c>
      <c r="C48">
        <v>4347</v>
      </c>
      <c r="D48">
        <v>4126</v>
      </c>
      <c r="E48">
        <v>4077</v>
      </c>
      <c r="F48" s="23">
        <f>TechM!H61</f>
        <v>45827.199999999997</v>
      </c>
      <c r="G48">
        <v>4109</v>
      </c>
      <c r="H48">
        <v>4160</v>
      </c>
      <c r="I48">
        <v>3937</v>
      </c>
      <c r="J48">
        <v>3358</v>
      </c>
      <c r="K48">
        <v>4578</v>
      </c>
    </row>
    <row r="49" spans="1:11" s="6" customFormat="1" x14ac:dyDescent="0.3">
      <c r="A49" s="6" t="s">
        <v>17</v>
      </c>
      <c r="B49">
        <v>11058</v>
      </c>
      <c r="C49">
        <v>12434</v>
      </c>
      <c r="D49">
        <v>12040</v>
      </c>
      <c r="E49">
        <v>11909</v>
      </c>
      <c r="F49" s="23">
        <f>TechM!I61</f>
        <v>43149.1</v>
      </c>
      <c r="G49">
        <v>12224</v>
      </c>
      <c r="H49">
        <v>12760</v>
      </c>
      <c r="I49">
        <v>12075</v>
      </c>
      <c r="J49">
        <v>10657</v>
      </c>
      <c r="K49">
        <v>13718</v>
      </c>
    </row>
    <row r="50" spans="1:11" x14ac:dyDescent="0.3">
      <c r="A50" s="6" t="s">
        <v>11</v>
      </c>
      <c r="B50">
        <v>16388</v>
      </c>
      <c r="C50">
        <v>17164</v>
      </c>
      <c r="D50">
        <v>16662</v>
      </c>
      <c r="E50">
        <v>16731</v>
      </c>
      <c r="F50" s="23">
        <f>TechM!J61</f>
        <v>44266.6</v>
      </c>
      <c r="G50">
        <v>16980</v>
      </c>
      <c r="H50">
        <v>16875</v>
      </c>
      <c r="I50">
        <v>17978</v>
      </c>
      <c r="J50">
        <v>18269</v>
      </c>
      <c r="K50">
        <v>19276</v>
      </c>
    </row>
    <row r="51" spans="1:11" x14ac:dyDescent="0.3">
      <c r="A51" s="6"/>
      <c r="F51" s="24">
        <f>TechM!K61</f>
        <v>49167.7</v>
      </c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5" t="s">
        <v>40</v>
      </c>
    </row>
    <row r="56" spans="1:11" s="12" customFormat="1" x14ac:dyDescent="0.3">
      <c r="A56" s="13" t="s">
        <v>25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6" t="s">
        <v>39</v>
      </c>
      <c r="B57">
        <v>197</v>
      </c>
      <c r="C57">
        <v>191</v>
      </c>
      <c r="D57">
        <v>375</v>
      </c>
      <c r="E57">
        <v>375</v>
      </c>
      <c r="F57">
        <v>370</v>
      </c>
      <c r="G57">
        <v>366</v>
      </c>
      <c r="H57">
        <v>366</v>
      </c>
      <c r="I57">
        <v>362</v>
      </c>
      <c r="J57">
        <v>362</v>
      </c>
      <c r="K57">
        <v>362</v>
      </c>
    </row>
    <row r="58" spans="1:11" x14ac:dyDescent="0.3">
      <c r="A58" s="6" t="s">
        <v>6</v>
      </c>
      <c r="B58">
        <v>86017</v>
      </c>
      <c r="C58">
        <v>84937</v>
      </c>
      <c r="D58">
        <v>89071</v>
      </c>
      <c r="E58">
        <v>83751</v>
      </c>
      <c r="F58">
        <v>86063</v>
      </c>
      <c r="G58">
        <v>88773</v>
      </c>
      <c r="H58">
        <v>90058</v>
      </c>
      <c r="I58">
        <v>90127</v>
      </c>
      <c r="J58">
        <v>94394</v>
      </c>
      <c r="K58">
        <v>106878</v>
      </c>
    </row>
    <row r="59" spans="1:11" x14ac:dyDescent="0.3">
      <c r="A59" s="6" t="s">
        <v>7</v>
      </c>
      <c r="B59">
        <v>289</v>
      </c>
      <c r="C59">
        <v>247</v>
      </c>
      <c r="D59">
        <v>62</v>
      </c>
      <c r="E59">
        <v>8174</v>
      </c>
      <c r="F59">
        <v>7795</v>
      </c>
      <c r="G59">
        <v>7818</v>
      </c>
      <c r="H59">
        <v>7688</v>
      </c>
      <c r="I59">
        <v>8021</v>
      </c>
      <c r="J59">
        <v>9392</v>
      </c>
      <c r="K59">
        <v>11283</v>
      </c>
    </row>
    <row r="60" spans="1:11" x14ac:dyDescent="0.3">
      <c r="A60" s="6" t="s">
        <v>38</v>
      </c>
      <c r="B60">
        <v>15830</v>
      </c>
      <c r="C60">
        <v>19751</v>
      </c>
      <c r="D60">
        <v>24393</v>
      </c>
      <c r="E60">
        <v>27827</v>
      </c>
      <c r="F60">
        <v>35764</v>
      </c>
      <c r="G60">
        <v>43967</v>
      </c>
      <c r="H60">
        <v>44747</v>
      </c>
      <c r="I60">
        <v>46962</v>
      </c>
      <c r="J60">
        <v>54501</v>
      </c>
      <c r="K60">
        <v>62644</v>
      </c>
    </row>
    <row r="61" spans="1:11" s="5" customFormat="1" x14ac:dyDescent="0.3">
      <c r="A61" s="5" t="s">
        <v>33</v>
      </c>
      <c r="B61">
        <v>102333</v>
      </c>
      <c r="C61">
        <v>105126</v>
      </c>
      <c r="D61">
        <v>113901</v>
      </c>
      <c r="E61">
        <v>120127</v>
      </c>
      <c r="F61">
        <v>129992</v>
      </c>
      <c r="G61">
        <v>140924</v>
      </c>
      <c r="H61">
        <v>142859</v>
      </c>
      <c r="I61">
        <v>145472</v>
      </c>
      <c r="J61">
        <v>158649</v>
      </c>
      <c r="K61">
        <v>181167</v>
      </c>
    </row>
    <row r="62" spans="1:11" x14ac:dyDescent="0.3">
      <c r="A62" s="6" t="s">
        <v>37</v>
      </c>
      <c r="B62">
        <v>11701</v>
      </c>
      <c r="C62">
        <v>11973</v>
      </c>
      <c r="D62">
        <v>12290</v>
      </c>
      <c r="E62">
        <v>20928</v>
      </c>
      <c r="F62">
        <v>21021</v>
      </c>
      <c r="G62">
        <v>21298</v>
      </c>
      <c r="H62">
        <v>20515</v>
      </c>
      <c r="I62">
        <v>19604</v>
      </c>
      <c r="J62">
        <v>23053</v>
      </c>
      <c r="K62">
        <v>31343</v>
      </c>
    </row>
    <row r="63" spans="1:11" x14ac:dyDescent="0.3">
      <c r="A63" s="6" t="s">
        <v>36</v>
      </c>
      <c r="B63">
        <v>1541</v>
      </c>
      <c r="C63">
        <v>1278</v>
      </c>
      <c r="D63">
        <v>963</v>
      </c>
      <c r="E63">
        <v>906</v>
      </c>
      <c r="F63">
        <v>926</v>
      </c>
      <c r="G63">
        <v>1205</v>
      </c>
      <c r="H63">
        <v>1234</v>
      </c>
      <c r="I63">
        <v>1564</v>
      </c>
      <c r="J63">
        <v>1546</v>
      </c>
      <c r="K63">
        <v>2665</v>
      </c>
    </row>
    <row r="64" spans="1:11" x14ac:dyDescent="0.3">
      <c r="A64" s="6" t="s">
        <v>35</v>
      </c>
      <c r="B64">
        <v>41980</v>
      </c>
      <c r="C64">
        <v>36008</v>
      </c>
      <c r="D64">
        <v>29330</v>
      </c>
      <c r="E64">
        <v>26356</v>
      </c>
      <c r="F64">
        <v>29373</v>
      </c>
      <c r="G64">
        <v>30485</v>
      </c>
      <c r="H64">
        <v>37163</v>
      </c>
      <c r="I64">
        <v>31762</v>
      </c>
      <c r="J64">
        <v>30964</v>
      </c>
      <c r="K64">
        <v>33988</v>
      </c>
    </row>
    <row r="65" spans="1:11" x14ac:dyDescent="0.3">
      <c r="A65" s="6" t="s">
        <v>34</v>
      </c>
      <c r="B65">
        <v>47111</v>
      </c>
      <c r="C65">
        <v>55867</v>
      </c>
      <c r="D65">
        <v>71318</v>
      </c>
      <c r="E65">
        <v>71937</v>
      </c>
      <c r="F65">
        <v>78672</v>
      </c>
      <c r="G65">
        <v>87936</v>
      </c>
      <c r="H65">
        <v>83947</v>
      </c>
      <c r="I65">
        <v>92542</v>
      </c>
      <c r="J65">
        <v>103086</v>
      </c>
      <c r="K65">
        <v>113171</v>
      </c>
    </row>
    <row r="66" spans="1:11" s="5" customFormat="1" x14ac:dyDescent="0.3">
      <c r="A66" s="5" t="s">
        <v>33</v>
      </c>
      <c r="B66">
        <v>102333</v>
      </c>
      <c r="C66">
        <v>105126</v>
      </c>
      <c r="D66">
        <v>113901</v>
      </c>
      <c r="E66">
        <v>120127</v>
      </c>
      <c r="F66">
        <v>129992</v>
      </c>
      <c r="G66">
        <v>140924</v>
      </c>
      <c r="H66">
        <v>142859</v>
      </c>
      <c r="I66">
        <v>145472</v>
      </c>
      <c r="J66">
        <v>158649</v>
      </c>
      <c r="K66">
        <v>181167</v>
      </c>
    </row>
    <row r="67" spans="1:11" s="6" customFormat="1" x14ac:dyDescent="0.3">
      <c r="A67" s="6" t="s">
        <v>32</v>
      </c>
      <c r="B67">
        <v>22617</v>
      </c>
      <c r="C67">
        <v>24943</v>
      </c>
      <c r="D67">
        <v>27346</v>
      </c>
      <c r="E67">
        <v>30532</v>
      </c>
      <c r="F67">
        <v>30079</v>
      </c>
      <c r="G67">
        <v>41810</v>
      </c>
      <c r="H67">
        <v>49954</v>
      </c>
      <c r="I67">
        <v>53577</v>
      </c>
      <c r="J67">
        <v>59046</v>
      </c>
      <c r="K67">
        <v>67714</v>
      </c>
    </row>
    <row r="68" spans="1:11" x14ac:dyDescent="0.3">
      <c r="A68" s="6" t="s">
        <v>31</v>
      </c>
      <c r="B68">
        <v>21</v>
      </c>
      <c r="C68">
        <v>26</v>
      </c>
      <c r="D68">
        <v>10</v>
      </c>
      <c r="E68">
        <v>5</v>
      </c>
      <c r="F68">
        <v>8</v>
      </c>
      <c r="G68">
        <v>20</v>
      </c>
      <c r="H68">
        <v>28</v>
      </c>
      <c r="I68">
        <v>28</v>
      </c>
      <c r="J68">
        <v>21</v>
      </c>
      <c r="K68">
        <v>29</v>
      </c>
    </row>
    <row r="69" spans="1:11" x14ac:dyDescent="0.3">
      <c r="A69" s="10" t="s">
        <v>30</v>
      </c>
      <c r="B69">
        <v>4149</v>
      </c>
      <c r="C69">
        <v>7161</v>
      </c>
      <c r="D69">
        <v>12848</v>
      </c>
      <c r="E69">
        <v>9666</v>
      </c>
      <c r="F69">
        <v>9329</v>
      </c>
      <c r="G69">
        <v>18221</v>
      </c>
      <c r="H69">
        <v>11032</v>
      </c>
      <c r="I69">
        <v>13286</v>
      </c>
      <c r="J69">
        <v>15463</v>
      </c>
      <c r="K69">
        <v>12908</v>
      </c>
    </row>
    <row r="70" spans="1:11" x14ac:dyDescent="0.3">
      <c r="A70" s="10" t="s">
        <v>29</v>
      </c>
      <c r="B70">
        <v>1970427941</v>
      </c>
      <c r="C70">
        <v>1914287591</v>
      </c>
      <c r="D70">
        <v>3752384706</v>
      </c>
      <c r="E70">
        <v>3752384706</v>
      </c>
      <c r="F70">
        <v>3699051373</v>
      </c>
      <c r="G70">
        <v>3659051373</v>
      </c>
      <c r="H70">
        <v>3659051373</v>
      </c>
      <c r="I70">
        <v>3618087518</v>
      </c>
      <c r="J70">
        <v>3618087518</v>
      </c>
      <c r="K70">
        <v>3618087518</v>
      </c>
    </row>
    <row r="71" spans="1:11" x14ac:dyDescent="0.3">
      <c r="A71" s="10" t="s">
        <v>28</v>
      </c>
    </row>
    <row r="72" spans="1:11" x14ac:dyDescent="0.3">
      <c r="A72" s="10" t="s">
        <v>27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A73" s="15" t="s">
        <v>67</v>
      </c>
      <c r="B73" s="16">
        <v>0.30492727399262298</v>
      </c>
      <c r="C73" s="16">
        <v>0.30337844187576357</v>
      </c>
      <c r="D73" s="16">
        <v>0.35185475035216779</v>
      </c>
      <c r="E73" s="16">
        <v>0.38442336495257112</v>
      </c>
      <c r="F73" s="16">
        <v>0.37520391517128876</v>
      </c>
      <c r="G73" s="16">
        <v>0.42996892493745725</v>
      </c>
      <c r="H73" s="16">
        <v>0.46610413164646552</v>
      </c>
      <c r="I73" s="16">
        <v>0.50733238294157301</v>
      </c>
      <c r="J73" s="16">
        <v>0.51240027016758838</v>
      </c>
      <c r="K73" s="16">
        <v>0.45887728459530025</v>
      </c>
    </row>
    <row r="74" spans="1:11" x14ac:dyDescent="0.3">
      <c r="A74" s="15" t="s">
        <v>72</v>
      </c>
      <c r="B74" s="16"/>
      <c r="C74" s="16">
        <v>0.39730506522067977</v>
      </c>
      <c r="D74" s="16">
        <v>0.47758787303511491</v>
      </c>
      <c r="E74" s="16">
        <v>0.47491859544134474</v>
      </c>
      <c r="F74" s="16">
        <v>0.4760357694287185</v>
      </c>
      <c r="G74" s="16">
        <v>0.54890289510160317</v>
      </c>
      <c r="H74" s="16">
        <v>0.59144200257344837</v>
      </c>
      <c r="I74" s="16">
        <v>0.63853485367863205</v>
      </c>
      <c r="J74" s="16">
        <v>0.65259698605532468</v>
      </c>
      <c r="K74" s="16">
        <v>0.59921588352322486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5" t="s">
        <v>26</v>
      </c>
    </row>
    <row r="81" spans="1:11" s="12" customFormat="1" x14ac:dyDescent="0.3">
      <c r="A81" s="13" t="s">
        <v>25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5" customFormat="1" x14ac:dyDescent="0.3">
      <c r="A82" s="6" t="s">
        <v>24</v>
      </c>
      <c r="B82">
        <v>25223</v>
      </c>
      <c r="C82">
        <v>25067</v>
      </c>
      <c r="D82">
        <v>28593</v>
      </c>
      <c r="E82">
        <v>32369</v>
      </c>
      <c r="F82">
        <v>38802</v>
      </c>
      <c r="G82">
        <v>39949</v>
      </c>
      <c r="H82">
        <v>41965</v>
      </c>
      <c r="I82">
        <v>44338</v>
      </c>
      <c r="J82">
        <v>48908</v>
      </c>
      <c r="K82">
        <v>52094</v>
      </c>
    </row>
    <row r="83" spans="1:11" s="6" customFormat="1" x14ac:dyDescent="0.3">
      <c r="A83" s="6" t="s">
        <v>23</v>
      </c>
      <c r="B83">
        <v>-16895</v>
      </c>
      <c r="C83">
        <v>3104</v>
      </c>
      <c r="D83">
        <v>1645</v>
      </c>
      <c r="E83">
        <v>8968</v>
      </c>
      <c r="F83">
        <v>-7956</v>
      </c>
      <c r="G83">
        <v>-738</v>
      </c>
      <c r="H83">
        <v>548</v>
      </c>
      <c r="I83">
        <v>6091</v>
      </c>
      <c r="J83">
        <v>-2144</v>
      </c>
      <c r="K83">
        <v>-11886</v>
      </c>
    </row>
    <row r="84" spans="1:11" s="6" customFormat="1" x14ac:dyDescent="0.3">
      <c r="A84" s="6" t="s">
        <v>22</v>
      </c>
      <c r="B84">
        <v>-11026</v>
      </c>
      <c r="C84">
        <v>-26885</v>
      </c>
      <c r="D84">
        <v>-27897</v>
      </c>
      <c r="E84">
        <v>-39915</v>
      </c>
      <c r="F84">
        <v>-32634</v>
      </c>
      <c r="G84">
        <v>-33581</v>
      </c>
      <c r="H84">
        <v>-47878</v>
      </c>
      <c r="I84">
        <v>-48536</v>
      </c>
      <c r="J84">
        <v>-47438</v>
      </c>
      <c r="K84">
        <v>-42133</v>
      </c>
    </row>
    <row r="85" spans="1:11" s="5" customFormat="1" x14ac:dyDescent="0.3">
      <c r="A85" s="6" t="s">
        <v>21</v>
      </c>
      <c r="B85">
        <v>-2698</v>
      </c>
      <c r="C85">
        <v>1286</v>
      </c>
      <c r="D85">
        <v>2341</v>
      </c>
      <c r="E85">
        <v>1422</v>
      </c>
      <c r="F85">
        <v>-1788</v>
      </c>
      <c r="G85">
        <v>5630</v>
      </c>
      <c r="H85">
        <v>-5365</v>
      </c>
      <c r="I85">
        <v>1893</v>
      </c>
      <c r="J85">
        <v>-674</v>
      </c>
      <c r="K85">
        <v>-1925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5" customFormat="1" x14ac:dyDescent="0.3">
      <c r="A90" s="5" t="s">
        <v>20</v>
      </c>
      <c r="B90">
        <v>1215.9000000000001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5" customFormat="1" x14ac:dyDescent="0.3">
      <c r="A92" s="5" t="s">
        <v>19</v>
      </c>
    </row>
    <row r="93" spans="1:11" x14ac:dyDescent="0.3">
      <c r="A93" s="10" t="s">
        <v>18</v>
      </c>
      <c r="B93" s="11">
        <v>394.09</v>
      </c>
      <c r="C93" s="11">
        <v>382.86</v>
      </c>
      <c r="D93" s="11">
        <v>375.24</v>
      </c>
      <c r="E93" s="11">
        <v>375.24</v>
      </c>
      <c r="F93" s="11">
        <v>369.91</v>
      </c>
      <c r="G93" s="11">
        <v>365.91</v>
      </c>
      <c r="H93" s="11">
        <v>365.91</v>
      </c>
      <c r="I93" s="11">
        <v>361.81</v>
      </c>
      <c r="J93" s="11">
        <v>361.81</v>
      </c>
      <c r="K93" s="11">
        <v>361.81</v>
      </c>
    </row>
  </sheetData>
  <mergeCells count="2">
    <mergeCell ref="E1:K1"/>
    <mergeCell ref="E2:K2"/>
  </mergeCells>
  <conditionalFormatting sqref="E1:K1">
    <cfRule type="cellIs" dxfId="4" priority="1" operator="notEqual">
      <formula>""</formula>
    </cfRule>
  </conditionalFormatting>
  <hyperlinks>
    <hyperlink ref="E1:K1" r:id="rId1" display="https://www.screener.in/excel/" xr:uid="{9541F94E-4017-4796-9513-C5536128DBD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D97C-69EA-4BA2-A3F6-481AECF3F19D}">
  <dimension ref="A1:K93"/>
  <sheetViews>
    <sheetView zoomScale="120" zoomScaleNormal="120" zoomScalePageLayoutView="120" workbookViewId="0">
      <pane xSplit="1" ySplit="1" topLeftCell="B66" activePane="bottomRight" state="frozen"/>
      <selection activeCell="C4" sqref="C4"/>
      <selection pane="topRight" activeCell="C4" sqref="C4"/>
      <selection pane="bottomLeft" activeCell="C4" sqref="C4"/>
      <selection pane="bottomRight" activeCell="C76" sqref="C76"/>
    </sheetView>
  </sheetViews>
  <sheetFormatPr defaultColWidth="8.77734375" defaultRowHeight="14.4" x14ac:dyDescent="0.3"/>
  <cols>
    <col min="1" max="1" width="27.6640625" style="10" bestFit="1" customWidth="1"/>
    <col min="2" max="11" width="13.44140625" style="10" bestFit="1" customWidth="1"/>
    <col min="12" max="16384" width="8.77734375" style="10"/>
  </cols>
  <sheetData>
    <row r="1" spans="1:11" s="5" customFormat="1" x14ac:dyDescent="0.3">
      <c r="A1" s="5" t="s">
        <v>60</v>
      </c>
      <c r="B1" s="5" t="s">
        <v>61</v>
      </c>
      <c r="E1" s="30" t="str">
        <f>IF(B2&lt;&gt;B3, "A NEW VERSION OF THE WORKSHEET IS AVAILABLE", "")</f>
        <v/>
      </c>
      <c r="F1" s="30"/>
      <c r="G1" s="30"/>
      <c r="H1" s="30"/>
      <c r="I1" s="30"/>
      <c r="J1" s="30"/>
      <c r="K1" s="30"/>
    </row>
    <row r="2" spans="1:11" x14ac:dyDescent="0.3">
      <c r="A2" s="5" t="s">
        <v>58</v>
      </c>
      <c r="B2" s="10">
        <v>2.1</v>
      </c>
      <c r="E2" s="31" t="s">
        <v>57</v>
      </c>
      <c r="F2" s="31"/>
      <c r="G2" s="31"/>
      <c r="H2" s="31"/>
      <c r="I2" s="31"/>
      <c r="J2" s="31"/>
      <c r="K2" s="31"/>
    </row>
    <row r="3" spans="1:11" x14ac:dyDescent="0.3">
      <c r="A3" s="5" t="s">
        <v>56</v>
      </c>
      <c r="B3" s="10">
        <v>2.1</v>
      </c>
    </row>
    <row r="4" spans="1:11" x14ac:dyDescent="0.3">
      <c r="A4" s="5"/>
    </row>
    <row r="5" spans="1:11" x14ac:dyDescent="0.3">
      <c r="A5" s="5" t="s">
        <v>55</v>
      </c>
    </row>
    <row r="6" spans="1:11" x14ac:dyDescent="0.3">
      <c r="A6" s="10" t="s">
        <v>54</v>
      </c>
      <c r="B6" s="10">
        <f>IF(B9&gt;0, B9/B8, 0)</f>
        <v>405.7578877005347</v>
      </c>
    </row>
    <row r="7" spans="1:11" x14ac:dyDescent="0.3">
      <c r="A7" s="10" t="s">
        <v>53</v>
      </c>
      <c r="B7">
        <v>5</v>
      </c>
    </row>
    <row r="8" spans="1:11" x14ac:dyDescent="0.3">
      <c r="A8" s="10" t="s">
        <v>52</v>
      </c>
      <c r="B8">
        <v>1047.2</v>
      </c>
    </row>
    <row r="9" spans="1:11" x14ac:dyDescent="0.3">
      <c r="A9" s="10" t="s">
        <v>51</v>
      </c>
      <c r="B9">
        <v>424909.66</v>
      </c>
    </row>
    <row r="15" spans="1:11" x14ac:dyDescent="0.3">
      <c r="A15" s="5" t="s">
        <v>50</v>
      </c>
    </row>
    <row r="16" spans="1:11" s="12" customFormat="1" x14ac:dyDescent="0.3">
      <c r="A16" s="13" t="s">
        <v>25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">
      <c r="A17" s="6" t="s">
        <v>9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6" customFormat="1" x14ac:dyDescent="0.3">
      <c r="A18" s="10" t="s">
        <v>49</v>
      </c>
    </row>
    <row r="19" spans="1:11" s="6" customFormat="1" x14ac:dyDescent="0.3">
      <c r="A19" s="10" t="s">
        <v>48</v>
      </c>
    </row>
    <row r="20" spans="1:11" s="6" customFormat="1" x14ac:dyDescent="0.3">
      <c r="A20" s="10" t="s">
        <v>47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6" customFormat="1" x14ac:dyDescent="0.3">
      <c r="A21" s="10" t="s">
        <v>46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6" customFormat="1" x14ac:dyDescent="0.3">
      <c r="A22" s="10" t="s">
        <v>45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6" customFormat="1" x14ac:dyDescent="0.3">
      <c r="A23" s="10" t="s">
        <v>44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6" customFormat="1" x14ac:dyDescent="0.3">
      <c r="A24" s="10" t="s">
        <v>43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6" customFormat="1" x14ac:dyDescent="0.3">
      <c r="A25" s="6" t="s">
        <v>12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6" customFormat="1" x14ac:dyDescent="0.3">
      <c r="A26" s="6" t="s">
        <v>13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6" customFormat="1" x14ac:dyDescent="0.3">
      <c r="A27" s="6" t="s">
        <v>14</v>
      </c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6" customFormat="1" x14ac:dyDescent="0.3">
      <c r="A28" s="6" t="s">
        <v>15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6" customFormat="1" x14ac:dyDescent="0.3">
      <c r="A29" s="6" t="s">
        <v>16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6" customFormat="1" x14ac:dyDescent="0.3">
      <c r="A30" s="6" t="s">
        <v>17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6" customFormat="1" x14ac:dyDescent="0.3">
      <c r="A31" s="6" t="s">
        <v>42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6" customFormat="1" x14ac:dyDescent="0.3">
      <c r="A32" s="6" t="s">
        <v>8</v>
      </c>
      <c r="B32" s="6">
        <v>31.243605650971944</v>
      </c>
      <c r="C32" s="6">
        <v>36.694748408955633</v>
      </c>
      <c r="D32" s="6">
        <v>35.258303005333154</v>
      </c>
      <c r="E32" s="6">
        <v>38.962197698990373</v>
      </c>
      <c r="F32" s="6">
        <v>45.417419672823712</v>
      </c>
      <c r="G32" s="6">
        <v>52.559013003066532</v>
      </c>
      <c r="H32" s="6">
        <v>58.079834160921756</v>
      </c>
      <c r="I32" s="6">
        <v>63.198342528126432</v>
      </c>
      <c r="J32" s="6">
        <v>64.317530638287636</v>
      </c>
      <c r="K32" s="6">
        <v>72.590985304270632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5" t="s">
        <v>41</v>
      </c>
    </row>
    <row r="41" spans="1:11" s="12" customFormat="1" x14ac:dyDescent="0.3">
      <c r="A41" s="13" t="s">
        <v>25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3">
      <c r="A42" s="6" t="s">
        <v>9</v>
      </c>
      <c r="B42">
        <v>38821</v>
      </c>
      <c r="C42">
        <v>37923</v>
      </c>
      <c r="D42">
        <v>39315</v>
      </c>
      <c r="E42">
        <v>40986</v>
      </c>
      <c r="F42">
        <v>41764</v>
      </c>
      <c r="G42">
        <v>40925</v>
      </c>
      <c r="H42">
        <v>42279</v>
      </c>
      <c r="I42">
        <v>44490</v>
      </c>
      <c r="J42">
        <v>45479</v>
      </c>
      <c r="K42">
        <v>46402</v>
      </c>
    </row>
    <row r="43" spans="1:11" s="6" customFormat="1" x14ac:dyDescent="0.3">
      <c r="A43" s="6" t="s">
        <v>10</v>
      </c>
      <c r="B43">
        <v>29684</v>
      </c>
      <c r="C43">
        <v>29139</v>
      </c>
      <c r="D43">
        <v>29878</v>
      </c>
      <c r="E43">
        <v>31177</v>
      </c>
      <c r="F43">
        <v>31649</v>
      </c>
      <c r="G43">
        <v>31051</v>
      </c>
      <c r="H43">
        <v>32336</v>
      </c>
      <c r="I43">
        <v>33955</v>
      </c>
      <c r="J43">
        <v>34845</v>
      </c>
      <c r="K43">
        <v>35235</v>
      </c>
    </row>
    <row r="44" spans="1:11" s="6" customFormat="1" x14ac:dyDescent="0.3">
      <c r="A44" s="6" t="s">
        <v>12</v>
      </c>
      <c r="B44">
        <v>789</v>
      </c>
      <c r="C44">
        <v>2729</v>
      </c>
      <c r="D44">
        <v>838</v>
      </c>
      <c r="E44">
        <v>712</v>
      </c>
      <c r="F44">
        <v>859</v>
      </c>
      <c r="G44">
        <v>1190</v>
      </c>
      <c r="H44">
        <v>1042</v>
      </c>
      <c r="I44">
        <v>982</v>
      </c>
      <c r="J44">
        <v>-150</v>
      </c>
      <c r="K44">
        <v>1159</v>
      </c>
    </row>
    <row r="45" spans="1:11" s="6" customFormat="1" x14ac:dyDescent="0.3">
      <c r="A45" s="6" t="s">
        <v>13</v>
      </c>
      <c r="B45">
        <v>1176</v>
      </c>
      <c r="C45">
        <v>1163</v>
      </c>
      <c r="D45">
        <v>1149</v>
      </c>
      <c r="E45">
        <v>1160</v>
      </c>
      <c r="F45">
        <v>1203</v>
      </c>
      <c r="G45">
        <v>1299</v>
      </c>
      <c r="H45">
        <v>1140</v>
      </c>
      <c r="I45">
        <v>1182</v>
      </c>
      <c r="J45">
        <v>1155</v>
      </c>
      <c r="K45">
        <v>1424</v>
      </c>
    </row>
    <row r="46" spans="1:11" s="6" customFormat="1" x14ac:dyDescent="0.3">
      <c r="A46" s="6" t="s">
        <v>14</v>
      </c>
      <c r="B46">
        <v>131</v>
      </c>
      <c r="C46">
        <v>110</v>
      </c>
      <c r="D46">
        <v>105</v>
      </c>
      <c r="E46">
        <v>108</v>
      </c>
      <c r="F46">
        <v>101</v>
      </c>
      <c r="G46">
        <v>102</v>
      </c>
      <c r="H46">
        <v>105</v>
      </c>
      <c r="I46">
        <v>106</v>
      </c>
      <c r="J46">
        <v>100</v>
      </c>
      <c r="K46">
        <v>105</v>
      </c>
    </row>
    <row r="47" spans="1:11" s="6" customFormat="1" x14ac:dyDescent="0.3">
      <c r="A47" s="6" t="s">
        <v>15</v>
      </c>
      <c r="B47">
        <v>8619</v>
      </c>
      <c r="C47">
        <v>10240</v>
      </c>
      <c r="D47">
        <v>9021</v>
      </c>
      <c r="E47">
        <v>9253</v>
      </c>
      <c r="F47">
        <v>9670</v>
      </c>
      <c r="G47">
        <v>9663</v>
      </c>
      <c r="H47">
        <v>9740</v>
      </c>
      <c r="I47">
        <v>10229</v>
      </c>
      <c r="J47">
        <v>9229</v>
      </c>
      <c r="K47">
        <v>10797</v>
      </c>
    </row>
    <row r="48" spans="1:11" s="6" customFormat="1" x14ac:dyDescent="0.3">
      <c r="A48" s="6" t="s">
        <v>16</v>
      </c>
      <c r="B48">
        <v>2506</v>
      </c>
      <c r="C48">
        <v>2265</v>
      </c>
      <c r="D48">
        <v>2647</v>
      </c>
      <c r="E48">
        <v>2737</v>
      </c>
      <c r="F48">
        <v>2848</v>
      </c>
      <c r="G48">
        <v>2625</v>
      </c>
      <c r="H48">
        <v>2816</v>
      </c>
      <c r="I48">
        <v>2854</v>
      </c>
      <c r="J48">
        <v>2563</v>
      </c>
      <c r="K48">
        <v>2288</v>
      </c>
    </row>
    <row r="49" spans="1:11" s="6" customFormat="1" x14ac:dyDescent="0.3">
      <c r="A49" s="6" t="s">
        <v>17</v>
      </c>
      <c r="B49">
        <v>6106</v>
      </c>
      <c r="C49">
        <v>7969</v>
      </c>
      <c r="D49">
        <v>6368</v>
      </c>
      <c r="E49">
        <v>6506</v>
      </c>
      <c r="F49">
        <v>6806</v>
      </c>
      <c r="G49">
        <v>7033</v>
      </c>
      <c r="H49">
        <v>6921</v>
      </c>
      <c r="I49">
        <v>7364</v>
      </c>
      <c r="J49">
        <v>6654</v>
      </c>
      <c r="K49">
        <v>8501</v>
      </c>
    </row>
    <row r="50" spans="1:11" x14ac:dyDescent="0.3">
      <c r="A50" s="6" t="s">
        <v>11</v>
      </c>
      <c r="B50">
        <v>9137</v>
      </c>
      <c r="C50">
        <v>8784</v>
      </c>
      <c r="D50">
        <v>9437</v>
      </c>
      <c r="E50">
        <v>9809</v>
      </c>
      <c r="F50">
        <v>10115</v>
      </c>
      <c r="G50">
        <v>9874</v>
      </c>
      <c r="H50">
        <v>9943</v>
      </c>
      <c r="I50">
        <v>10535</v>
      </c>
      <c r="J50">
        <v>10634</v>
      </c>
      <c r="K50">
        <v>11167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5" t="s">
        <v>40</v>
      </c>
    </row>
    <row r="56" spans="1:11" s="12" customFormat="1" x14ac:dyDescent="0.3">
      <c r="A56" s="13" t="s">
        <v>25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6" t="s">
        <v>39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">
      <c r="A58" s="6" t="s">
        <v>6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">
      <c r="A59" s="6" t="s">
        <v>7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">
      <c r="A60" s="6" t="s">
        <v>38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5" customFormat="1" x14ac:dyDescent="0.3">
      <c r="A61" s="5" t="s">
        <v>33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">
      <c r="A62" s="6" t="s">
        <v>37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">
      <c r="A63" s="6" t="s">
        <v>36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">
      <c r="A64" s="6" t="s">
        <v>35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">
      <c r="A65" s="6" t="s">
        <v>34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5" customFormat="1" x14ac:dyDescent="0.3">
      <c r="A66" s="5" t="s">
        <v>33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6" customFormat="1" x14ac:dyDescent="0.3">
      <c r="A67" s="6" t="s">
        <v>32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">
      <c r="A68" s="6" t="s">
        <v>31</v>
      </c>
    </row>
    <row r="69" spans="1:11" x14ac:dyDescent="0.3">
      <c r="A69" s="10" t="s">
        <v>30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">
      <c r="A70" s="10" t="s">
        <v>29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">
      <c r="A71" s="10" t="s">
        <v>28</v>
      </c>
      <c r="D71">
        <v>2184191490</v>
      </c>
    </row>
    <row r="72" spans="1:11" x14ac:dyDescent="0.3">
      <c r="A72" s="10" t="s">
        <v>27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3" spans="1:11" x14ac:dyDescent="0.3">
      <c r="A73" s="15" t="s">
        <v>67</v>
      </c>
      <c r="B73" s="16">
        <v>0.20806877156359629</v>
      </c>
      <c r="C73" s="16">
        <v>0.24689247262141306</v>
      </c>
      <c r="D73" s="16">
        <v>0.23717435486851018</v>
      </c>
      <c r="E73" s="16">
        <v>0.25353705118411002</v>
      </c>
      <c r="F73" s="16">
        <v>0.2534478919726002</v>
      </c>
      <c r="G73" s="16">
        <v>0.29343065693430659</v>
      </c>
      <c r="H73" s="16">
        <v>0.31953266938082669</v>
      </c>
      <c r="I73" s="16">
        <v>0.29770983703300197</v>
      </c>
      <c r="J73" s="16">
        <v>0.27878895405873633</v>
      </c>
      <c r="K73" s="16">
        <v>0.31706371429802266</v>
      </c>
    </row>
    <row r="74" spans="1:11" x14ac:dyDescent="0.3">
      <c r="A74" s="15" t="s">
        <v>72</v>
      </c>
      <c r="B74" s="16"/>
      <c r="C74" s="16">
        <v>0.30275195101004443</v>
      </c>
      <c r="D74" s="16">
        <v>0.3240292290041657</v>
      </c>
      <c r="E74" s="16">
        <v>0.32847272107886338</v>
      </c>
      <c r="F74" s="16">
        <v>0.3534946856529102</v>
      </c>
      <c r="G74" s="16">
        <v>0.37304615384615386</v>
      </c>
      <c r="H74" s="16">
        <v>0.40850908648878625</v>
      </c>
      <c r="I74" s="16">
        <v>0.40468195869708795</v>
      </c>
      <c r="J74" s="16">
        <v>0.37925393975663274</v>
      </c>
      <c r="K74" s="16">
        <v>0.39220082203879209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5" t="s">
        <v>26</v>
      </c>
    </row>
    <row r="81" spans="1:11" s="12" customFormat="1" x14ac:dyDescent="0.3">
      <c r="A81" s="13" t="s">
        <v>25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5" customFormat="1" x14ac:dyDescent="0.3">
      <c r="A82" s="6" t="s">
        <v>24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6" customFormat="1" x14ac:dyDescent="0.3">
      <c r="A83" s="6" t="s">
        <v>23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6" customFormat="1" x14ac:dyDescent="0.3">
      <c r="A84" s="6" t="s">
        <v>22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5" customFormat="1" x14ac:dyDescent="0.3">
      <c r="A85" s="6" t="s">
        <v>21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5" customFormat="1" x14ac:dyDescent="0.3">
      <c r="A90" s="5" t="s">
        <v>20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5" customFormat="1" x14ac:dyDescent="0.3">
      <c r="A92" s="5" t="s">
        <v>19</v>
      </c>
    </row>
    <row r="93" spans="1:11" x14ac:dyDescent="0.3">
      <c r="A93" s="10" t="s">
        <v>18</v>
      </c>
      <c r="B93" s="11">
        <v>459.39</v>
      </c>
      <c r="C93" s="11">
        <v>436.82</v>
      </c>
      <c r="D93" s="11">
        <v>436.89</v>
      </c>
      <c r="E93" s="11">
        <v>425.9</v>
      </c>
      <c r="F93" s="11">
        <v>426.07</v>
      </c>
      <c r="G93" s="11">
        <v>420.67</v>
      </c>
      <c r="H93" s="11">
        <v>414.86</v>
      </c>
      <c r="I93" s="11">
        <v>415.09</v>
      </c>
      <c r="J93" s="11">
        <v>415.33</v>
      </c>
      <c r="K93" s="11">
        <v>405.56</v>
      </c>
    </row>
  </sheetData>
  <mergeCells count="2">
    <mergeCell ref="E1:K1"/>
    <mergeCell ref="E2:K2"/>
  </mergeCells>
  <conditionalFormatting sqref="E1:K1">
    <cfRule type="cellIs" dxfId="3" priority="1" operator="notEqual">
      <formula>""</formula>
    </cfRule>
  </conditionalFormatting>
  <hyperlinks>
    <hyperlink ref="E1:K1" r:id="rId1" display="https://www.screener.in/excel/" xr:uid="{3F402748-5157-4823-AC55-36DC912357B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8FEB-1781-4A01-8F27-16CAC435B8EE}">
  <dimension ref="A1:K93"/>
  <sheetViews>
    <sheetView zoomScale="120" zoomScaleNormal="120" zoomScalePageLayoutView="120" workbookViewId="0">
      <pane xSplit="1" ySplit="1" topLeftCell="B69" activePane="bottomRight" state="frozen"/>
      <selection activeCell="C4" sqref="C4"/>
      <selection pane="topRight" activeCell="C4" sqref="C4"/>
      <selection pane="bottomLeft" activeCell="C4" sqref="C4"/>
      <selection pane="bottomRight" activeCell="E74" sqref="E74"/>
    </sheetView>
  </sheetViews>
  <sheetFormatPr defaultColWidth="8.77734375" defaultRowHeight="14.4" x14ac:dyDescent="0.3"/>
  <cols>
    <col min="1" max="1" width="27.6640625" style="10" bestFit="1" customWidth="1"/>
    <col min="2" max="11" width="13.44140625" style="10" bestFit="1" customWidth="1"/>
    <col min="12" max="16384" width="8.77734375" style="10"/>
  </cols>
  <sheetData>
    <row r="1" spans="1:11" s="5" customFormat="1" x14ac:dyDescent="0.3">
      <c r="A1" s="5" t="s">
        <v>60</v>
      </c>
      <c r="B1" s="5" t="s">
        <v>62</v>
      </c>
      <c r="E1" s="30" t="str">
        <f>IF(B2&lt;&gt;B3, "A NEW VERSION OF THE WORKSHEET IS AVAILABLE", "")</f>
        <v/>
      </c>
      <c r="F1" s="30"/>
      <c r="G1" s="30"/>
      <c r="H1" s="30"/>
      <c r="I1" s="30"/>
      <c r="J1" s="30"/>
      <c r="K1" s="30"/>
    </row>
    <row r="2" spans="1:11" x14ac:dyDescent="0.3">
      <c r="A2" s="5" t="s">
        <v>58</v>
      </c>
      <c r="B2" s="10">
        <v>2.1</v>
      </c>
      <c r="E2" s="31" t="s">
        <v>57</v>
      </c>
      <c r="F2" s="31"/>
      <c r="G2" s="31"/>
      <c r="H2" s="31"/>
      <c r="I2" s="31"/>
      <c r="J2" s="31"/>
      <c r="K2" s="31"/>
    </row>
    <row r="3" spans="1:11" x14ac:dyDescent="0.3">
      <c r="A3" s="5" t="s">
        <v>56</v>
      </c>
      <c r="B3" s="10">
        <v>2.1</v>
      </c>
    </row>
    <row r="4" spans="1:11" x14ac:dyDescent="0.3">
      <c r="A4" s="5"/>
    </row>
    <row r="5" spans="1:11" x14ac:dyDescent="0.3">
      <c r="A5" s="5" t="s">
        <v>55</v>
      </c>
    </row>
    <row r="6" spans="1:11" x14ac:dyDescent="0.3">
      <c r="A6" s="10" t="s">
        <v>54</v>
      </c>
      <c r="B6" s="10">
        <f>IF(B9&gt;0, B9/B8, 0)</f>
        <v>271.36650570676034</v>
      </c>
    </row>
    <row r="7" spans="1:11" x14ac:dyDescent="0.3">
      <c r="A7" s="10" t="s">
        <v>53</v>
      </c>
      <c r="B7">
        <v>2</v>
      </c>
    </row>
    <row r="8" spans="1:11" x14ac:dyDescent="0.3">
      <c r="A8" s="10" t="s">
        <v>52</v>
      </c>
      <c r="B8">
        <v>1139</v>
      </c>
    </row>
    <row r="9" spans="1:11" x14ac:dyDescent="0.3">
      <c r="A9" s="10" t="s">
        <v>51</v>
      </c>
      <c r="B9">
        <v>309086.45</v>
      </c>
    </row>
    <row r="15" spans="1:11" x14ac:dyDescent="0.3">
      <c r="A15" s="5" t="s">
        <v>50</v>
      </c>
    </row>
    <row r="16" spans="1:11" s="12" customFormat="1" x14ac:dyDescent="0.3">
      <c r="A16" s="13" t="s">
        <v>25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">
      <c r="A17" s="6" t="s">
        <v>9</v>
      </c>
      <c r="B17">
        <v>47568</v>
      </c>
      <c r="C17">
        <v>50569</v>
      </c>
      <c r="D17">
        <v>60427</v>
      </c>
      <c r="E17">
        <v>70676</v>
      </c>
      <c r="F17">
        <v>75379</v>
      </c>
      <c r="G17">
        <v>85651</v>
      </c>
      <c r="H17">
        <v>101456</v>
      </c>
      <c r="I17">
        <v>109913</v>
      </c>
      <c r="J17">
        <v>117055</v>
      </c>
      <c r="K17">
        <v>130144</v>
      </c>
    </row>
    <row r="18" spans="1:11" s="6" customFormat="1" x14ac:dyDescent="0.3">
      <c r="A18" s="10" t="s">
        <v>49</v>
      </c>
      <c r="B18">
        <v>826</v>
      </c>
      <c r="C18">
        <v>1251</v>
      </c>
      <c r="D18">
        <v>1615</v>
      </c>
      <c r="E18">
        <v>1536</v>
      </c>
      <c r="F18">
        <v>1698</v>
      </c>
      <c r="G18">
        <v>1473</v>
      </c>
      <c r="H18">
        <v>2072</v>
      </c>
      <c r="I18">
        <v>1754</v>
      </c>
      <c r="J18">
        <v>1976</v>
      </c>
      <c r="K18">
        <v>2715</v>
      </c>
    </row>
    <row r="19" spans="1:11" s="6" customFormat="1" x14ac:dyDescent="0.3">
      <c r="A19" s="10" t="s">
        <v>48</v>
      </c>
      <c r="B19">
        <v>11</v>
      </c>
      <c r="C19">
        <v>-104</v>
      </c>
      <c r="D19">
        <v>-81</v>
      </c>
      <c r="F19">
        <v>3</v>
      </c>
      <c r="G19">
        <v>67</v>
      </c>
      <c r="H19">
        <v>67</v>
      </c>
      <c r="I19">
        <v>-43</v>
      </c>
      <c r="J19">
        <v>-52</v>
      </c>
      <c r="K19">
        <v>106</v>
      </c>
    </row>
    <row r="20" spans="1:11" s="6" customFormat="1" x14ac:dyDescent="0.3">
      <c r="A20" s="10" t="s">
        <v>47</v>
      </c>
      <c r="B20">
        <v>307</v>
      </c>
      <c r="C20">
        <v>313</v>
      </c>
      <c r="D20">
        <v>336</v>
      </c>
      <c r="E20">
        <v>307</v>
      </c>
      <c r="F20">
        <v>275</v>
      </c>
      <c r="G20">
        <v>291</v>
      </c>
      <c r="H20">
        <v>328</v>
      </c>
      <c r="I20">
        <v>360</v>
      </c>
      <c r="J20">
        <v>355</v>
      </c>
    </row>
    <row r="21" spans="1:11" s="6" customFormat="1" x14ac:dyDescent="0.3">
      <c r="A21" s="10" t="s">
        <v>46</v>
      </c>
      <c r="B21">
        <v>9286</v>
      </c>
      <c r="C21">
        <v>9388</v>
      </c>
      <c r="D21">
        <v>10862</v>
      </c>
      <c r="E21">
        <v>12324</v>
      </c>
      <c r="F21">
        <v>12084</v>
      </c>
      <c r="G21">
        <v>14574</v>
      </c>
      <c r="H21">
        <v>17303</v>
      </c>
      <c r="I21">
        <v>15651</v>
      </c>
      <c r="J21">
        <v>16276</v>
      </c>
    </row>
    <row r="22" spans="1:11" s="6" customFormat="1" x14ac:dyDescent="0.3">
      <c r="A22" s="10" t="s">
        <v>45</v>
      </c>
      <c r="B22">
        <v>22866</v>
      </c>
      <c r="C22">
        <v>24729</v>
      </c>
      <c r="D22">
        <v>29283</v>
      </c>
      <c r="E22">
        <v>34928</v>
      </c>
      <c r="F22">
        <v>38853</v>
      </c>
      <c r="G22">
        <v>46130</v>
      </c>
      <c r="H22">
        <v>55280</v>
      </c>
      <c r="I22">
        <v>62480</v>
      </c>
      <c r="J22">
        <v>66755</v>
      </c>
      <c r="K22">
        <v>74143</v>
      </c>
    </row>
    <row r="23" spans="1:11" s="6" customFormat="1" x14ac:dyDescent="0.3">
      <c r="A23" s="10" t="s">
        <v>44</v>
      </c>
      <c r="B23">
        <v>2988</v>
      </c>
      <c r="C23">
        <v>2810</v>
      </c>
      <c r="D23">
        <v>3519</v>
      </c>
      <c r="E23">
        <v>3050</v>
      </c>
      <c r="F23">
        <v>1681</v>
      </c>
      <c r="G23">
        <v>1866</v>
      </c>
      <c r="H23">
        <v>2687</v>
      </c>
      <c r="I23">
        <v>3858</v>
      </c>
      <c r="J23">
        <v>4504</v>
      </c>
    </row>
    <row r="24" spans="1:11" s="6" customFormat="1" x14ac:dyDescent="0.3">
      <c r="A24" s="10" t="s">
        <v>43</v>
      </c>
      <c r="B24">
        <v>916</v>
      </c>
      <c r="C24">
        <v>728</v>
      </c>
      <c r="D24">
        <v>805</v>
      </c>
      <c r="E24">
        <v>1215</v>
      </c>
      <c r="F24">
        <v>743</v>
      </c>
      <c r="G24">
        <v>855</v>
      </c>
      <c r="H24">
        <v>1225</v>
      </c>
      <c r="I24">
        <v>1569</v>
      </c>
      <c r="J24">
        <v>1633</v>
      </c>
      <c r="K24">
        <v>26640</v>
      </c>
    </row>
    <row r="25" spans="1:11" s="6" customFormat="1" x14ac:dyDescent="0.3">
      <c r="A25" s="6" t="s">
        <v>12</v>
      </c>
      <c r="B25">
        <v>1069</v>
      </c>
      <c r="C25">
        <v>1230</v>
      </c>
      <c r="D25">
        <v>943</v>
      </c>
      <c r="E25">
        <v>589</v>
      </c>
      <c r="F25">
        <v>927</v>
      </c>
      <c r="G25">
        <v>1067</v>
      </c>
      <c r="H25">
        <v>1358</v>
      </c>
      <c r="I25">
        <v>1495</v>
      </c>
      <c r="J25">
        <v>2485</v>
      </c>
      <c r="K25">
        <v>574</v>
      </c>
    </row>
    <row r="26" spans="1:11" s="6" customFormat="1" x14ac:dyDescent="0.3">
      <c r="A26" s="6" t="s">
        <v>13</v>
      </c>
      <c r="B26">
        <v>828</v>
      </c>
      <c r="C26">
        <v>1383</v>
      </c>
      <c r="D26">
        <v>2073</v>
      </c>
      <c r="E26">
        <v>3420</v>
      </c>
      <c r="F26">
        <v>4611</v>
      </c>
      <c r="G26">
        <v>4326</v>
      </c>
      <c r="H26">
        <v>4145</v>
      </c>
      <c r="I26">
        <v>4173</v>
      </c>
      <c r="J26">
        <v>4084</v>
      </c>
      <c r="K26">
        <v>4355</v>
      </c>
    </row>
    <row r="27" spans="1:11" s="6" customFormat="1" x14ac:dyDescent="0.3">
      <c r="A27" s="6" t="s">
        <v>14</v>
      </c>
      <c r="B27">
        <v>89</v>
      </c>
      <c r="C27">
        <v>69</v>
      </c>
      <c r="D27">
        <v>174</v>
      </c>
      <c r="E27">
        <v>505</v>
      </c>
      <c r="F27">
        <v>511</v>
      </c>
      <c r="G27">
        <v>319</v>
      </c>
      <c r="H27">
        <v>353</v>
      </c>
      <c r="I27">
        <v>553</v>
      </c>
      <c r="J27">
        <v>644</v>
      </c>
      <c r="K27">
        <v>869</v>
      </c>
    </row>
    <row r="28" spans="1:11" s="6" customFormat="1" x14ac:dyDescent="0.3">
      <c r="A28" s="6" t="s">
        <v>15</v>
      </c>
      <c r="B28">
        <v>10542</v>
      </c>
      <c r="C28">
        <v>11024</v>
      </c>
      <c r="D28">
        <v>12622</v>
      </c>
      <c r="E28">
        <v>13980</v>
      </c>
      <c r="F28">
        <v>15853</v>
      </c>
      <c r="G28">
        <v>16951</v>
      </c>
      <c r="H28">
        <v>19488</v>
      </c>
      <c r="I28">
        <v>20967</v>
      </c>
      <c r="J28">
        <v>23261</v>
      </c>
      <c r="K28">
        <v>22102</v>
      </c>
    </row>
    <row r="29" spans="1:11" s="6" customFormat="1" x14ac:dyDescent="0.3">
      <c r="A29" s="6" t="s">
        <v>16</v>
      </c>
      <c r="B29">
        <v>1936</v>
      </c>
      <c r="C29">
        <v>2302</v>
      </c>
      <c r="D29">
        <v>2502</v>
      </c>
      <c r="E29">
        <v>2923</v>
      </c>
      <c r="F29">
        <v>4684</v>
      </c>
      <c r="G29">
        <v>3428</v>
      </c>
      <c r="H29">
        <v>4643</v>
      </c>
      <c r="I29">
        <v>5257</v>
      </c>
      <c r="J29">
        <v>5862</v>
      </c>
      <c r="K29">
        <v>5450</v>
      </c>
    </row>
    <row r="30" spans="1:11" s="6" customFormat="1" x14ac:dyDescent="0.3">
      <c r="A30" s="6" t="s">
        <v>17</v>
      </c>
      <c r="B30">
        <v>8606</v>
      </c>
      <c r="C30">
        <v>8721</v>
      </c>
      <c r="D30">
        <v>10120</v>
      </c>
      <c r="E30">
        <v>11057</v>
      </c>
      <c r="F30">
        <v>11145</v>
      </c>
      <c r="G30">
        <v>13499</v>
      </c>
      <c r="H30">
        <v>14851</v>
      </c>
      <c r="I30">
        <v>15702</v>
      </c>
      <c r="J30">
        <v>17390</v>
      </c>
      <c r="K30">
        <v>16642</v>
      </c>
    </row>
    <row r="31" spans="1:11" s="6" customFormat="1" x14ac:dyDescent="0.3">
      <c r="A31" s="6" t="s">
        <v>42</v>
      </c>
      <c r="B31">
        <v>3420</v>
      </c>
      <c r="C31">
        <v>1668</v>
      </c>
      <c r="D31">
        <v>1084</v>
      </c>
      <c r="E31">
        <v>2715</v>
      </c>
      <c r="F31">
        <v>2715</v>
      </c>
      <c r="G31">
        <v>11403</v>
      </c>
      <c r="H31">
        <v>13032</v>
      </c>
      <c r="I31">
        <v>14118</v>
      </c>
      <c r="J31">
        <v>16290</v>
      </c>
      <c r="K31">
        <v>14661</v>
      </c>
    </row>
    <row r="32" spans="1:11" s="6" customFormat="1" x14ac:dyDescent="0.3">
      <c r="A32" s="6" t="s">
        <v>8</v>
      </c>
      <c r="B32" s="6">
        <v>30.158396411550321</v>
      </c>
      <c r="C32" s="6">
        <v>31.319806069312264</v>
      </c>
      <c r="D32" s="6">
        <v>37.307380373073805</v>
      </c>
      <c r="E32" s="6">
        <v>40.745108154917638</v>
      </c>
      <c r="F32" s="6">
        <v>41.069388657552416</v>
      </c>
      <c r="G32" s="6">
        <v>49.743892103032756</v>
      </c>
      <c r="H32" s="6">
        <v>54.726019825330731</v>
      </c>
      <c r="I32" s="6">
        <v>57.861959686037515</v>
      </c>
      <c r="J32" s="6">
        <v>64.082249327486451</v>
      </c>
      <c r="K32" s="6">
        <v>61.325865055090837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5" t="s">
        <v>41</v>
      </c>
    </row>
    <row r="41" spans="1:11" s="12" customFormat="1" x14ac:dyDescent="0.3">
      <c r="A41" s="13" t="s">
        <v>25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3">
      <c r="A42" s="6" t="s">
        <v>9</v>
      </c>
      <c r="B42">
        <v>28446</v>
      </c>
      <c r="C42">
        <v>28499</v>
      </c>
      <c r="D42">
        <v>28057</v>
      </c>
      <c r="E42">
        <v>28862</v>
      </c>
      <c r="F42">
        <v>29890</v>
      </c>
      <c r="G42">
        <v>30246</v>
      </c>
      <c r="H42">
        <v>30349</v>
      </c>
      <c r="I42">
        <v>31942</v>
      </c>
      <c r="J42">
        <v>33872</v>
      </c>
      <c r="K42">
        <v>33981</v>
      </c>
    </row>
    <row r="43" spans="1:11" s="6" customFormat="1" x14ac:dyDescent="0.3">
      <c r="A43" s="6" t="s">
        <v>10</v>
      </c>
      <c r="B43">
        <v>21659</v>
      </c>
      <c r="C43">
        <v>22382</v>
      </c>
      <c r="D43">
        <v>22264</v>
      </c>
      <c r="E43">
        <v>22493</v>
      </c>
      <c r="F43">
        <v>23030</v>
      </c>
      <c r="G43">
        <v>23764</v>
      </c>
      <c r="H43">
        <v>24314</v>
      </c>
      <c r="I43">
        <v>25397</v>
      </c>
      <c r="J43">
        <v>26460</v>
      </c>
      <c r="K43">
        <v>27269</v>
      </c>
    </row>
    <row r="44" spans="1:11" s="6" customFormat="1" x14ac:dyDescent="0.3">
      <c r="A44" s="6" t="s">
        <v>12</v>
      </c>
      <c r="B44">
        <v>370</v>
      </c>
      <c r="C44">
        <v>416</v>
      </c>
      <c r="D44">
        <v>1103</v>
      </c>
      <c r="E44">
        <v>456</v>
      </c>
      <c r="F44">
        <v>477</v>
      </c>
      <c r="G44">
        <v>449</v>
      </c>
      <c r="H44">
        <v>456</v>
      </c>
      <c r="I44">
        <v>415</v>
      </c>
      <c r="J44">
        <v>-571</v>
      </c>
      <c r="K44">
        <v>322</v>
      </c>
    </row>
    <row r="45" spans="1:11" s="6" customFormat="1" x14ac:dyDescent="0.3">
      <c r="A45" s="6" t="s">
        <v>13</v>
      </c>
      <c r="B45">
        <v>1143</v>
      </c>
      <c r="C45">
        <v>1093</v>
      </c>
      <c r="D45">
        <v>998</v>
      </c>
      <c r="E45">
        <v>1007</v>
      </c>
      <c r="F45">
        <v>1039</v>
      </c>
      <c r="G45">
        <v>1040</v>
      </c>
      <c r="H45">
        <v>1093</v>
      </c>
      <c r="I45">
        <v>1043</v>
      </c>
      <c r="J45">
        <v>1127</v>
      </c>
      <c r="K45">
        <v>1092</v>
      </c>
    </row>
    <row r="46" spans="1:11" s="6" customFormat="1" x14ac:dyDescent="0.3">
      <c r="A46" s="6" t="s">
        <v>14</v>
      </c>
      <c r="B46">
        <v>140</v>
      </c>
      <c r="C46">
        <v>171</v>
      </c>
      <c r="D46">
        <v>191</v>
      </c>
      <c r="E46">
        <v>131</v>
      </c>
      <c r="F46">
        <v>166</v>
      </c>
      <c r="G46">
        <v>156</v>
      </c>
      <c r="H46">
        <v>209</v>
      </c>
      <c r="I46">
        <v>215</v>
      </c>
      <c r="J46">
        <v>205</v>
      </c>
      <c r="K46">
        <v>240</v>
      </c>
    </row>
    <row r="47" spans="1:11" s="6" customFormat="1" x14ac:dyDescent="0.3">
      <c r="A47" s="6" t="s">
        <v>15</v>
      </c>
      <c r="B47">
        <v>5874</v>
      </c>
      <c r="C47">
        <v>5269</v>
      </c>
      <c r="D47">
        <v>5707</v>
      </c>
      <c r="E47">
        <v>5687</v>
      </c>
      <c r="F47">
        <v>6132</v>
      </c>
      <c r="G47">
        <v>5735</v>
      </c>
      <c r="H47">
        <v>5189</v>
      </c>
      <c r="I47">
        <v>5702</v>
      </c>
      <c r="J47">
        <v>5509</v>
      </c>
      <c r="K47">
        <v>5702</v>
      </c>
    </row>
    <row r="48" spans="1:11" s="6" customFormat="1" x14ac:dyDescent="0.3">
      <c r="A48" s="6" t="s">
        <v>16</v>
      </c>
      <c r="B48">
        <v>1523</v>
      </c>
      <c r="C48">
        <v>1274</v>
      </c>
      <c r="D48">
        <v>1448</v>
      </c>
      <c r="E48">
        <v>1450</v>
      </c>
      <c r="F48">
        <v>1538</v>
      </c>
      <c r="G48">
        <v>1426</v>
      </c>
      <c r="H48">
        <v>1345</v>
      </c>
      <c r="I48">
        <v>1466</v>
      </c>
      <c r="J48">
        <v>1427</v>
      </c>
      <c r="K48">
        <v>1212</v>
      </c>
    </row>
    <row r="49" spans="1:11" s="6" customFormat="1" x14ac:dyDescent="0.3">
      <c r="A49" s="6" t="s">
        <v>17</v>
      </c>
      <c r="B49">
        <v>4350</v>
      </c>
      <c r="C49">
        <v>3986</v>
      </c>
      <c r="D49">
        <v>4257</v>
      </c>
      <c r="E49">
        <v>4235</v>
      </c>
      <c r="F49">
        <v>4591</v>
      </c>
      <c r="G49">
        <v>4307</v>
      </c>
      <c r="H49">
        <v>3843</v>
      </c>
      <c r="I49">
        <v>4235</v>
      </c>
      <c r="J49">
        <v>4076</v>
      </c>
      <c r="K49">
        <v>4488</v>
      </c>
    </row>
    <row r="50" spans="1:11" x14ac:dyDescent="0.3">
      <c r="A50" s="6" t="s">
        <v>11</v>
      </c>
      <c r="B50">
        <v>6787</v>
      </c>
      <c r="C50">
        <v>6117</v>
      </c>
      <c r="D50">
        <v>5793</v>
      </c>
      <c r="E50">
        <v>6369</v>
      </c>
      <c r="F50">
        <v>6860</v>
      </c>
      <c r="G50">
        <v>6482</v>
      </c>
      <c r="H50">
        <v>6035</v>
      </c>
      <c r="I50">
        <v>6545</v>
      </c>
      <c r="J50">
        <v>7412</v>
      </c>
      <c r="K50">
        <v>6712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5" t="s">
        <v>40</v>
      </c>
    </row>
    <row r="56" spans="1:11" s="12" customFormat="1" x14ac:dyDescent="0.3">
      <c r="A56" s="13" t="s">
        <v>25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6" t="s">
        <v>39</v>
      </c>
      <c r="B57">
        <v>285</v>
      </c>
      <c r="C57">
        <v>278</v>
      </c>
      <c r="D57">
        <v>271</v>
      </c>
      <c r="E57">
        <v>543</v>
      </c>
      <c r="F57">
        <v>543</v>
      </c>
      <c r="G57">
        <v>543</v>
      </c>
      <c r="H57">
        <v>543</v>
      </c>
      <c r="I57">
        <v>543</v>
      </c>
      <c r="J57">
        <v>543</v>
      </c>
      <c r="K57">
        <v>543</v>
      </c>
    </row>
    <row r="58" spans="1:11" x14ac:dyDescent="0.3">
      <c r="A58" s="6" t="s">
        <v>6</v>
      </c>
      <c r="B58">
        <v>32664</v>
      </c>
      <c r="C58">
        <v>36108</v>
      </c>
      <c r="D58">
        <v>41095</v>
      </c>
      <c r="E58">
        <v>50724</v>
      </c>
      <c r="F58">
        <v>59370</v>
      </c>
      <c r="G58">
        <v>61371</v>
      </c>
      <c r="H58">
        <v>64862</v>
      </c>
      <c r="I58">
        <v>67720</v>
      </c>
      <c r="J58">
        <v>69112</v>
      </c>
      <c r="K58">
        <v>74622</v>
      </c>
    </row>
    <row r="59" spans="1:11" x14ac:dyDescent="0.3">
      <c r="A59" s="6" t="s">
        <v>7</v>
      </c>
      <c r="B59">
        <v>582</v>
      </c>
      <c r="C59">
        <v>557</v>
      </c>
      <c r="D59">
        <v>4195</v>
      </c>
      <c r="E59">
        <v>7986</v>
      </c>
      <c r="F59">
        <v>6864</v>
      </c>
      <c r="G59">
        <v>6343</v>
      </c>
      <c r="H59">
        <v>4794</v>
      </c>
      <c r="I59">
        <v>5756</v>
      </c>
      <c r="J59">
        <v>6276</v>
      </c>
      <c r="K59">
        <v>5215</v>
      </c>
    </row>
    <row r="60" spans="1:11" x14ac:dyDescent="0.3">
      <c r="A60" s="6" t="s">
        <v>38</v>
      </c>
      <c r="B60">
        <v>12231</v>
      </c>
      <c r="C60">
        <v>11046</v>
      </c>
      <c r="D60">
        <v>12788</v>
      </c>
      <c r="E60">
        <v>23566</v>
      </c>
      <c r="F60">
        <v>19270</v>
      </c>
      <c r="G60">
        <v>20664</v>
      </c>
      <c r="H60">
        <v>23051</v>
      </c>
      <c r="I60">
        <v>24987</v>
      </c>
      <c r="J60">
        <v>28549</v>
      </c>
      <c r="K60">
        <v>35878</v>
      </c>
    </row>
    <row r="61" spans="1:11" s="5" customFormat="1" x14ac:dyDescent="0.3">
      <c r="A61" s="5" t="s">
        <v>33</v>
      </c>
      <c r="B61">
        <v>45762</v>
      </c>
      <c r="C61">
        <v>47989</v>
      </c>
      <c r="D61">
        <v>58349</v>
      </c>
      <c r="E61">
        <v>82819</v>
      </c>
      <c r="F61">
        <v>86047</v>
      </c>
      <c r="G61">
        <v>88921</v>
      </c>
      <c r="H61">
        <v>93250</v>
      </c>
      <c r="I61">
        <v>99006</v>
      </c>
      <c r="J61">
        <v>104480</v>
      </c>
      <c r="K61">
        <v>116258</v>
      </c>
    </row>
    <row r="62" spans="1:11" x14ac:dyDescent="0.3">
      <c r="A62" s="6" t="s">
        <v>37</v>
      </c>
      <c r="B62">
        <v>15235</v>
      </c>
      <c r="C62">
        <v>18753</v>
      </c>
      <c r="D62">
        <v>22888</v>
      </c>
      <c r="E62">
        <v>37490</v>
      </c>
      <c r="F62">
        <v>37145</v>
      </c>
      <c r="G62">
        <v>35077</v>
      </c>
      <c r="H62">
        <v>34619</v>
      </c>
      <c r="I62">
        <v>35063</v>
      </c>
      <c r="J62">
        <v>36172</v>
      </c>
      <c r="K62">
        <v>37379</v>
      </c>
    </row>
    <row r="63" spans="1:11" x14ac:dyDescent="0.3">
      <c r="A63" s="6" t="s">
        <v>36</v>
      </c>
      <c r="B63">
        <v>448</v>
      </c>
      <c r="C63">
        <v>320</v>
      </c>
      <c r="D63">
        <v>235</v>
      </c>
      <c r="E63">
        <v>400</v>
      </c>
      <c r="F63">
        <v>312</v>
      </c>
      <c r="G63">
        <v>129</v>
      </c>
      <c r="H63">
        <v>40</v>
      </c>
      <c r="I63">
        <v>108</v>
      </c>
      <c r="J63">
        <v>59</v>
      </c>
      <c r="K63">
        <v>60</v>
      </c>
    </row>
    <row r="64" spans="1:11" x14ac:dyDescent="0.3">
      <c r="A64" s="6" t="s">
        <v>35</v>
      </c>
      <c r="B64">
        <v>1306</v>
      </c>
      <c r="C64">
        <v>2660</v>
      </c>
      <c r="D64">
        <v>2305</v>
      </c>
      <c r="E64">
        <v>7066</v>
      </c>
      <c r="F64">
        <v>6862</v>
      </c>
      <c r="G64">
        <v>6351</v>
      </c>
      <c r="H64">
        <v>5495</v>
      </c>
      <c r="I64">
        <v>7137</v>
      </c>
      <c r="J64">
        <v>7564</v>
      </c>
      <c r="K64">
        <v>7090</v>
      </c>
    </row>
    <row r="65" spans="1:11" x14ac:dyDescent="0.3">
      <c r="A65" s="6" t="s">
        <v>34</v>
      </c>
      <c r="B65">
        <v>28773</v>
      </c>
      <c r="C65">
        <v>26256</v>
      </c>
      <c r="D65">
        <v>32921</v>
      </c>
      <c r="E65">
        <v>37863</v>
      </c>
      <c r="F65">
        <v>41728</v>
      </c>
      <c r="G65">
        <v>47364</v>
      </c>
      <c r="H65">
        <v>53096</v>
      </c>
      <c r="I65">
        <v>56698</v>
      </c>
      <c r="J65">
        <v>60685</v>
      </c>
      <c r="K65">
        <v>71729</v>
      </c>
    </row>
    <row r="66" spans="1:11" s="5" customFormat="1" x14ac:dyDescent="0.3">
      <c r="A66" s="5" t="s">
        <v>33</v>
      </c>
      <c r="B66">
        <v>45762</v>
      </c>
      <c r="C66">
        <v>47989</v>
      </c>
      <c r="D66">
        <v>58349</v>
      </c>
      <c r="E66">
        <v>82819</v>
      </c>
      <c r="F66">
        <v>86047</v>
      </c>
      <c r="G66">
        <v>88921</v>
      </c>
      <c r="H66">
        <v>93250</v>
      </c>
      <c r="I66">
        <v>99006</v>
      </c>
      <c r="J66">
        <v>104480</v>
      </c>
      <c r="K66">
        <v>116258</v>
      </c>
    </row>
    <row r="67" spans="1:11" s="6" customFormat="1" x14ac:dyDescent="0.3">
      <c r="A67" s="6" t="s">
        <v>32</v>
      </c>
      <c r="B67">
        <v>8301</v>
      </c>
      <c r="C67">
        <v>9639</v>
      </c>
      <c r="D67">
        <v>11706</v>
      </c>
      <c r="E67">
        <v>14131</v>
      </c>
      <c r="F67">
        <v>17525</v>
      </c>
      <c r="G67">
        <v>20671</v>
      </c>
      <c r="H67">
        <v>25506</v>
      </c>
      <c r="I67">
        <v>25521</v>
      </c>
      <c r="J67">
        <v>25842</v>
      </c>
      <c r="K67">
        <v>23585</v>
      </c>
    </row>
    <row r="68" spans="1:11" x14ac:dyDescent="0.3">
      <c r="A68" s="6" t="s">
        <v>31</v>
      </c>
      <c r="B68">
        <v>276</v>
      </c>
      <c r="C68">
        <v>172</v>
      </c>
      <c r="D68">
        <v>91</v>
      </c>
      <c r="E68">
        <v>91</v>
      </c>
      <c r="F68">
        <v>94</v>
      </c>
      <c r="G68">
        <v>161</v>
      </c>
      <c r="H68">
        <v>228</v>
      </c>
      <c r="I68">
        <v>185</v>
      </c>
      <c r="J68">
        <v>133</v>
      </c>
      <c r="K68">
        <v>239</v>
      </c>
    </row>
    <row r="69" spans="1:11" x14ac:dyDescent="0.3">
      <c r="A69" s="10" t="s">
        <v>30</v>
      </c>
      <c r="B69">
        <v>9044</v>
      </c>
      <c r="C69">
        <v>4018</v>
      </c>
      <c r="D69">
        <v>7872</v>
      </c>
      <c r="E69">
        <v>4976</v>
      </c>
      <c r="F69">
        <v>8888</v>
      </c>
      <c r="G69">
        <v>12636</v>
      </c>
      <c r="H69">
        <v>14724</v>
      </c>
      <c r="I69">
        <v>20150</v>
      </c>
      <c r="J69">
        <v>21289</v>
      </c>
      <c r="K69">
        <v>23425</v>
      </c>
    </row>
    <row r="70" spans="1:11" x14ac:dyDescent="0.3">
      <c r="A70" s="10" t="s">
        <v>29</v>
      </c>
      <c r="B70">
        <v>1426783424</v>
      </c>
      <c r="C70">
        <v>1392246384</v>
      </c>
      <c r="D70">
        <v>1356278868</v>
      </c>
      <c r="E70">
        <v>2713665096</v>
      </c>
      <c r="F70">
        <v>2713665096</v>
      </c>
      <c r="G70">
        <v>2713665096</v>
      </c>
      <c r="H70">
        <v>2713665096</v>
      </c>
      <c r="I70">
        <v>2713665096</v>
      </c>
      <c r="J70">
        <v>2713665096</v>
      </c>
    </row>
    <row r="71" spans="1:11" x14ac:dyDescent="0.3">
      <c r="A71" s="10" t="s">
        <v>28</v>
      </c>
    </row>
    <row r="72" spans="1:11" x14ac:dyDescent="0.3">
      <c r="A72" s="10" t="s">
        <v>27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 x14ac:dyDescent="0.3">
      <c r="A73" s="15" t="s">
        <v>67</v>
      </c>
      <c r="B73" s="16">
        <v>0.26119153843819237</v>
      </c>
      <c r="C73" s="16">
        <v>0.23968009674050458</v>
      </c>
      <c r="D73" s="16">
        <v>0.2446453609244307</v>
      </c>
      <c r="E73" s="16">
        <v>0.2156748005539626</v>
      </c>
      <c r="F73" s="16">
        <v>0.18601972860647939</v>
      </c>
      <c r="G73" s="16">
        <v>0.21802823270988791</v>
      </c>
      <c r="H73" s="16">
        <v>0.22706215121168105</v>
      </c>
      <c r="I73" s="16">
        <v>0.2300221203287286</v>
      </c>
      <c r="J73" s="16">
        <v>0.24965903380948962</v>
      </c>
      <c r="K73" s="16">
        <v>0.22140623960619971</v>
      </c>
    </row>
    <row r="74" spans="1:11" x14ac:dyDescent="0.3">
      <c r="A74" s="15" t="s">
        <v>72</v>
      </c>
      <c r="B74" s="16"/>
      <c r="C74" s="16">
        <v>0.31481113602179528</v>
      </c>
      <c r="D74" s="16">
        <v>0.31019102104140406</v>
      </c>
      <c r="E74" s="16">
        <v>0.27639437479725992</v>
      </c>
      <c r="F74" s="16">
        <v>0.25968420217408555</v>
      </c>
      <c r="G74" s="16">
        <v>0.2557874313135951</v>
      </c>
      <c r="H74" s="16">
        <v>0.28660368636967704</v>
      </c>
      <c r="I74" s="16">
        <v>0.29843708829688387</v>
      </c>
      <c r="J74" s="16">
        <v>0.31883961320440146</v>
      </c>
      <c r="K74" s="16">
        <v>0.2939140559525561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5" t="s">
        <v>26</v>
      </c>
    </row>
    <row r="81" spans="1:11" s="12" customFormat="1" x14ac:dyDescent="0.3">
      <c r="A81" s="13" t="s">
        <v>25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5" customFormat="1" x14ac:dyDescent="0.3">
      <c r="A82" s="6" t="s">
        <v>24</v>
      </c>
      <c r="B82">
        <v>8995</v>
      </c>
      <c r="C82">
        <v>8328</v>
      </c>
      <c r="D82">
        <v>8971</v>
      </c>
      <c r="E82">
        <v>13359</v>
      </c>
      <c r="F82">
        <v>19618</v>
      </c>
      <c r="G82">
        <v>16900</v>
      </c>
      <c r="H82">
        <v>18009</v>
      </c>
      <c r="I82">
        <v>22448</v>
      </c>
      <c r="J82">
        <v>22261</v>
      </c>
      <c r="K82">
        <v>19975</v>
      </c>
    </row>
    <row r="83" spans="1:11" s="6" customFormat="1" x14ac:dyDescent="0.3">
      <c r="A83" s="6" t="s">
        <v>23</v>
      </c>
      <c r="B83">
        <v>-3890</v>
      </c>
      <c r="C83">
        <v>-2236</v>
      </c>
      <c r="D83">
        <v>-3256</v>
      </c>
      <c r="E83">
        <v>-12332</v>
      </c>
      <c r="F83">
        <v>-5665</v>
      </c>
      <c r="G83">
        <v>1597</v>
      </c>
      <c r="H83">
        <v>-3573</v>
      </c>
      <c r="I83">
        <v>-6608</v>
      </c>
      <c r="J83">
        <v>-4896</v>
      </c>
      <c r="K83">
        <v>-1473</v>
      </c>
    </row>
    <row r="84" spans="1:11" s="6" customFormat="1" x14ac:dyDescent="0.3">
      <c r="A84" s="6" t="s">
        <v>22</v>
      </c>
      <c r="B84">
        <v>-4517</v>
      </c>
      <c r="C84">
        <v>-5714</v>
      </c>
      <c r="D84">
        <v>-1471</v>
      </c>
      <c r="E84">
        <v>-3168</v>
      </c>
      <c r="F84">
        <v>-11192</v>
      </c>
      <c r="G84">
        <v>-14508</v>
      </c>
      <c r="H84">
        <v>-15881</v>
      </c>
      <c r="I84">
        <v>-15464</v>
      </c>
      <c r="J84">
        <v>-18561</v>
      </c>
      <c r="K84">
        <v>-19369</v>
      </c>
    </row>
    <row r="85" spans="1:11" s="5" customFormat="1" x14ac:dyDescent="0.3">
      <c r="A85" s="6" t="s">
        <v>21</v>
      </c>
      <c r="B85">
        <v>588</v>
      </c>
      <c r="C85">
        <v>378</v>
      </c>
      <c r="D85">
        <v>4244</v>
      </c>
      <c r="E85">
        <v>-2141</v>
      </c>
      <c r="F85">
        <v>2761</v>
      </c>
      <c r="G85">
        <v>3989</v>
      </c>
      <c r="H85">
        <v>-1445</v>
      </c>
      <c r="I85">
        <v>376</v>
      </c>
      <c r="J85">
        <v>-1196</v>
      </c>
      <c r="K85">
        <v>-867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5" customFormat="1" x14ac:dyDescent="0.3">
      <c r="A90" s="5" t="s">
        <v>20</v>
      </c>
      <c r="B90">
        <v>437.38</v>
      </c>
      <c r="C90">
        <v>484.3</v>
      </c>
      <c r="D90">
        <v>543.73</v>
      </c>
      <c r="E90">
        <v>436.4</v>
      </c>
      <c r="F90">
        <v>982.65</v>
      </c>
      <c r="G90">
        <v>1163.75</v>
      </c>
      <c r="H90">
        <v>1085.25</v>
      </c>
      <c r="I90">
        <v>1543.55</v>
      </c>
      <c r="J90">
        <v>1592.5</v>
      </c>
      <c r="K90">
        <v>1341.6</v>
      </c>
    </row>
    <row r="92" spans="1:11" s="5" customFormat="1" x14ac:dyDescent="0.3">
      <c r="A92" s="5" t="s">
        <v>19</v>
      </c>
    </row>
    <row r="93" spans="1:11" x14ac:dyDescent="0.3">
      <c r="A93" s="10" t="s">
        <v>18</v>
      </c>
      <c r="B93" s="11">
        <v>285.36</v>
      </c>
      <c r="C93" s="11">
        <v>278.45</v>
      </c>
      <c r="D93" s="11">
        <v>271.26</v>
      </c>
      <c r="E93" s="11">
        <v>271.37</v>
      </c>
      <c r="F93" s="11">
        <v>271.37</v>
      </c>
      <c r="G93" s="11">
        <v>271.37</v>
      </c>
      <c r="H93" s="11">
        <v>271.37</v>
      </c>
      <c r="I93" s="11">
        <v>271.37</v>
      </c>
      <c r="J93" s="11">
        <v>271.37</v>
      </c>
      <c r="K93" s="11">
        <v>271.37</v>
      </c>
    </row>
  </sheetData>
  <mergeCells count="2">
    <mergeCell ref="E1:K1"/>
    <mergeCell ref="E2:K2"/>
  </mergeCells>
  <conditionalFormatting sqref="E1:K1">
    <cfRule type="cellIs" dxfId="2" priority="1" operator="notEqual">
      <formula>""</formula>
    </cfRule>
  </conditionalFormatting>
  <hyperlinks>
    <hyperlink ref="E1:K1" r:id="rId1" display="https://www.screener.in/excel/" xr:uid="{EE6E7781-9D55-492E-A9DE-ED8781C9072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CF7C-574C-4A28-8535-042E1429CA4B}">
  <dimension ref="A1:K93"/>
  <sheetViews>
    <sheetView zoomScale="120" zoomScaleNormal="120" zoomScalePageLayoutView="120" workbookViewId="0">
      <pane xSplit="1" ySplit="1" topLeftCell="B65" activePane="bottomRight" state="frozen"/>
      <selection activeCell="C4" sqref="C4"/>
      <selection pane="topRight" activeCell="C4" sqref="C4"/>
      <selection pane="bottomLeft" activeCell="C4" sqref="C4"/>
      <selection pane="bottomRight" activeCell="A74" sqref="A74:K74"/>
    </sheetView>
  </sheetViews>
  <sheetFormatPr defaultColWidth="8.77734375" defaultRowHeight="14.4" x14ac:dyDescent="0.3"/>
  <cols>
    <col min="1" max="1" width="27.6640625" style="10" bestFit="1" customWidth="1"/>
    <col min="2" max="11" width="13.44140625" style="10" bestFit="1" customWidth="1"/>
    <col min="12" max="16384" width="8.77734375" style="10"/>
  </cols>
  <sheetData>
    <row r="1" spans="1:11" s="5" customFormat="1" x14ac:dyDescent="0.3">
      <c r="A1" s="5" t="s">
        <v>60</v>
      </c>
      <c r="B1" s="5" t="s">
        <v>63</v>
      </c>
      <c r="E1" s="30" t="str">
        <f>IF(B2&lt;&gt;B3, "A NEW VERSION OF THE WORKSHEET IS AVAILABLE", "")</f>
        <v/>
      </c>
      <c r="F1" s="30"/>
      <c r="G1" s="30"/>
      <c r="H1" s="30"/>
      <c r="I1" s="30"/>
      <c r="J1" s="30"/>
      <c r="K1" s="30"/>
    </row>
    <row r="2" spans="1:11" x14ac:dyDescent="0.3">
      <c r="A2" s="5" t="s">
        <v>58</v>
      </c>
      <c r="B2" s="10">
        <v>2.1</v>
      </c>
      <c r="E2" s="31" t="s">
        <v>57</v>
      </c>
      <c r="F2" s="31"/>
      <c r="G2" s="31"/>
      <c r="H2" s="31"/>
      <c r="I2" s="31"/>
      <c r="J2" s="31"/>
      <c r="K2" s="31"/>
    </row>
    <row r="3" spans="1:11" x14ac:dyDescent="0.3">
      <c r="A3" s="5" t="s">
        <v>56</v>
      </c>
      <c r="B3" s="10">
        <v>2.1</v>
      </c>
    </row>
    <row r="4" spans="1:11" x14ac:dyDescent="0.3">
      <c r="A4" s="5"/>
    </row>
    <row r="5" spans="1:11" x14ac:dyDescent="0.3">
      <c r="A5" s="5" t="s">
        <v>55</v>
      </c>
    </row>
    <row r="6" spans="1:11" x14ac:dyDescent="0.3">
      <c r="A6" s="10" t="s">
        <v>54</v>
      </c>
      <c r="B6" s="10">
        <f>IF(B9&gt;0, B9/B8, 0)</f>
        <v>990.35495229441165</v>
      </c>
    </row>
    <row r="7" spans="1:11" x14ac:dyDescent="0.3">
      <c r="A7" s="10" t="s">
        <v>53</v>
      </c>
      <c r="B7">
        <v>2</v>
      </c>
    </row>
    <row r="8" spans="1:11" x14ac:dyDescent="0.3">
      <c r="A8" s="10" t="s">
        <v>52</v>
      </c>
      <c r="B8">
        <v>176.08</v>
      </c>
    </row>
    <row r="9" spans="1:11" x14ac:dyDescent="0.3">
      <c r="A9" s="10" t="s">
        <v>51</v>
      </c>
      <c r="B9">
        <v>174381.7</v>
      </c>
    </row>
    <row r="15" spans="1:11" x14ac:dyDescent="0.3">
      <c r="A15" s="5" t="s">
        <v>50</v>
      </c>
    </row>
    <row r="16" spans="1:11" s="12" customFormat="1" x14ac:dyDescent="0.3">
      <c r="A16" s="13" t="s">
        <v>25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">
      <c r="A17" s="6" t="s">
        <v>9</v>
      </c>
      <c r="B17">
        <v>55448.4</v>
      </c>
      <c r="C17">
        <v>54487.1</v>
      </c>
      <c r="D17">
        <v>59018.9</v>
      </c>
      <c r="E17">
        <v>61137.599999999999</v>
      </c>
      <c r="F17">
        <v>61934.9</v>
      </c>
      <c r="G17">
        <v>79312</v>
      </c>
      <c r="H17">
        <v>90487.6</v>
      </c>
      <c r="I17">
        <v>89760.3</v>
      </c>
      <c r="J17">
        <v>89088.4</v>
      </c>
      <c r="K17">
        <v>92624</v>
      </c>
    </row>
    <row r="18" spans="1:11" s="6" customFormat="1" x14ac:dyDescent="0.3">
      <c r="A18" s="10" t="s">
        <v>49</v>
      </c>
      <c r="B18">
        <v>2556</v>
      </c>
      <c r="C18">
        <v>1843.4</v>
      </c>
      <c r="D18">
        <v>1407.3</v>
      </c>
      <c r="E18">
        <v>936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1" s="6" customFormat="1" x14ac:dyDescent="0.3">
      <c r="A19" s="10" t="s">
        <v>48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</v>
      </c>
      <c r="I19">
        <v>-27.8</v>
      </c>
      <c r="J19">
        <v>-19.5</v>
      </c>
      <c r="K19">
        <v>-17.100000000000001</v>
      </c>
    </row>
    <row r="20" spans="1:11" s="6" customFormat="1" x14ac:dyDescent="0.3">
      <c r="A20" s="10" t="s">
        <v>47</v>
      </c>
    </row>
    <row r="21" spans="1:11" s="6" customFormat="1" x14ac:dyDescent="0.3">
      <c r="A21" s="10" t="s">
        <v>46</v>
      </c>
      <c r="G21">
        <v>1327.9</v>
      </c>
      <c r="H21">
        <v>1871.7</v>
      </c>
      <c r="I21">
        <v>1837.8</v>
      </c>
      <c r="J21">
        <v>1933.8</v>
      </c>
      <c r="K21">
        <v>2172</v>
      </c>
    </row>
    <row r="22" spans="1:11" s="6" customFormat="1" x14ac:dyDescent="0.3">
      <c r="A22" s="10" t="s">
        <v>45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1" s="6" customFormat="1" x14ac:dyDescent="0.3">
      <c r="A23" s="10" t="s">
        <v>44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17123.900000000001</v>
      </c>
      <c r="I23">
        <v>15667.3</v>
      </c>
      <c r="J23">
        <v>15481.7</v>
      </c>
      <c r="K23">
        <v>16038.7</v>
      </c>
    </row>
    <row r="24" spans="1:11" s="6" customFormat="1" x14ac:dyDescent="0.3">
      <c r="A24" s="10" t="s">
        <v>43</v>
      </c>
      <c r="B24">
        <v>846.6</v>
      </c>
      <c r="C24">
        <v>1130.5</v>
      </c>
      <c r="D24">
        <v>1292.5999999999999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424</v>
      </c>
    </row>
    <row r="25" spans="1:11" s="6" customFormat="1" x14ac:dyDescent="0.3">
      <c r="A25" s="6" t="s">
        <v>12</v>
      </c>
      <c r="B25">
        <v>2622.6</v>
      </c>
      <c r="C25">
        <v>2549.8000000000002</v>
      </c>
      <c r="D25">
        <v>2613.8000000000002</v>
      </c>
      <c r="E25">
        <v>2727.9</v>
      </c>
      <c r="F25">
        <v>2403.6999999999998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1" s="6" customFormat="1" x14ac:dyDescent="0.3">
      <c r="A26" s="6" t="s">
        <v>13</v>
      </c>
      <c r="B26">
        <v>2310</v>
      </c>
      <c r="C26">
        <v>2111.6999999999998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1" s="6" customFormat="1" x14ac:dyDescent="0.3">
      <c r="A27" s="6" t="s">
        <v>14</v>
      </c>
      <c r="B27">
        <v>594.20000000000005</v>
      </c>
      <c r="C27">
        <v>583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</v>
      </c>
      <c r="K27">
        <v>1457.7</v>
      </c>
    </row>
    <row r="28" spans="1:11" s="6" customFormat="1" x14ac:dyDescent="0.3">
      <c r="A28" s="6" t="s">
        <v>15</v>
      </c>
      <c r="B28">
        <v>11039.3</v>
      </c>
      <c r="C28">
        <v>10242.200000000001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</v>
      </c>
      <c r="J28">
        <v>17495.7</v>
      </c>
      <c r="K28">
        <v>17342.2</v>
      </c>
    </row>
    <row r="29" spans="1:11" s="6" customFormat="1" x14ac:dyDescent="0.3">
      <c r="A29" s="6" t="s">
        <v>16</v>
      </c>
      <c r="B29">
        <v>2521.4</v>
      </c>
      <c r="C29">
        <v>2239.1</v>
      </c>
      <c r="D29">
        <v>2524.3000000000002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1" s="6" customFormat="1" x14ac:dyDescent="0.3">
      <c r="A30" s="6" t="s">
        <v>17</v>
      </c>
      <c r="B30">
        <v>8493.1</v>
      </c>
      <c r="C30">
        <v>8002.8</v>
      </c>
      <c r="D30">
        <v>9003.7000000000007</v>
      </c>
      <c r="E30">
        <v>9722.2999999999993</v>
      </c>
      <c r="F30">
        <v>10796.4</v>
      </c>
      <c r="G30">
        <v>12229.6</v>
      </c>
      <c r="H30">
        <v>11350</v>
      </c>
      <c r="I30">
        <v>11045.2</v>
      </c>
      <c r="J30">
        <v>13135.4</v>
      </c>
      <c r="K30">
        <v>13197.4</v>
      </c>
    </row>
    <row r="31" spans="1:11" s="6" customFormat="1" x14ac:dyDescent="0.3">
      <c r="A31" s="6" t="s">
        <v>42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548.79999999999995</v>
      </c>
      <c r="I31">
        <v>522.5</v>
      </c>
      <c r="J31">
        <v>6283.2</v>
      </c>
      <c r="K31">
        <v>11537.35</v>
      </c>
    </row>
    <row r="32" spans="1:11" s="6" customFormat="1" x14ac:dyDescent="0.3">
      <c r="A32" s="6" t="s">
        <v>8</v>
      </c>
      <c r="B32" s="6">
        <v>6.5508916450697274</v>
      </c>
      <c r="C32" s="6">
        <v>6.6338956355949774</v>
      </c>
      <c r="D32" s="6">
        <v>7.4608672594237611</v>
      </c>
      <c r="E32" s="6">
        <v>8.5084057514417974</v>
      </c>
      <c r="F32" s="6">
        <v>9.8522581057280778</v>
      </c>
      <c r="G32" s="6">
        <v>11.154221504729071</v>
      </c>
      <c r="H32" s="6">
        <v>10.340931868292062</v>
      </c>
      <c r="I32" s="6">
        <v>10.569265954087443</v>
      </c>
      <c r="J32" s="6">
        <v>12.543233926337601</v>
      </c>
      <c r="K32" s="6">
        <v>12.58285343808398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5" t="s">
        <v>41</v>
      </c>
    </row>
    <row r="41" spans="1:11" s="12" customFormat="1" x14ac:dyDescent="0.3">
      <c r="A41" s="13" t="s">
        <v>25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3">
      <c r="A42" s="6" t="s">
        <v>9</v>
      </c>
      <c r="B42">
        <v>22205.1</v>
      </c>
      <c r="C42">
        <v>22208.3</v>
      </c>
      <c r="D42">
        <v>21963.8</v>
      </c>
      <c r="E42">
        <v>22301.599999999999</v>
      </c>
      <c r="F42">
        <v>22318.799999999999</v>
      </c>
      <c r="G42">
        <v>22504.2</v>
      </c>
      <c r="H42">
        <v>22134.6</v>
      </c>
      <c r="I42">
        <v>22697.3</v>
      </c>
      <c r="J42">
        <v>23555.8</v>
      </c>
      <c r="K42">
        <v>24236.3</v>
      </c>
    </row>
    <row r="43" spans="1:11" s="6" customFormat="1" x14ac:dyDescent="0.3">
      <c r="A43" s="6" t="s">
        <v>10</v>
      </c>
      <c r="B43">
        <v>18006.8</v>
      </c>
      <c r="C43">
        <v>17827.7</v>
      </c>
      <c r="D43">
        <v>17614.2</v>
      </c>
      <c r="E43">
        <v>17798.3</v>
      </c>
      <c r="F43">
        <v>17779</v>
      </c>
      <c r="G43">
        <v>17880.2</v>
      </c>
      <c r="H43">
        <v>17901.5</v>
      </c>
      <c r="I43">
        <v>18324.900000000001</v>
      </c>
      <c r="J43">
        <v>19259.400000000001</v>
      </c>
      <c r="K43">
        <v>19327</v>
      </c>
    </row>
    <row r="44" spans="1:11" s="6" customFormat="1" x14ac:dyDescent="0.3">
      <c r="A44" s="6" t="s">
        <v>12</v>
      </c>
      <c r="B44">
        <v>597.9</v>
      </c>
      <c r="C44">
        <v>652.9</v>
      </c>
      <c r="D44">
        <v>729.7</v>
      </c>
      <c r="E44">
        <v>962.2</v>
      </c>
      <c r="F44">
        <v>1004.6</v>
      </c>
      <c r="G44">
        <v>1217.4000000000001</v>
      </c>
      <c r="H44">
        <v>1071.5</v>
      </c>
      <c r="I44">
        <v>962.9</v>
      </c>
      <c r="J44">
        <v>1008.1</v>
      </c>
      <c r="K44">
        <v>856.9</v>
      </c>
    </row>
    <row r="45" spans="1:11" s="6" customFormat="1" x14ac:dyDescent="0.3">
      <c r="A45" s="6" t="s">
        <v>13</v>
      </c>
      <c r="B45">
        <v>931.6</v>
      </c>
      <c r="C45">
        <v>840.5</v>
      </c>
      <c r="D45">
        <v>728.9</v>
      </c>
      <c r="E45">
        <v>830.8</v>
      </c>
      <c r="F45">
        <v>676.5</v>
      </c>
      <c r="G45">
        <v>721.7</v>
      </c>
      <c r="H45">
        <v>685.5</v>
      </c>
      <c r="I45">
        <v>691.7</v>
      </c>
      <c r="J45">
        <v>805</v>
      </c>
      <c r="K45">
        <v>728.5</v>
      </c>
    </row>
    <row r="46" spans="1:11" s="6" customFormat="1" x14ac:dyDescent="0.3">
      <c r="A46" s="6" t="s">
        <v>14</v>
      </c>
      <c r="B46">
        <v>312.5</v>
      </c>
      <c r="C46">
        <v>330.8</v>
      </c>
      <c r="D46">
        <v>328.8</v>
      </c>
      <c r="E46">
        <v>356.9</v>
      </c>
      <c r="F46">
        <v>414.6</v>
      </c>
      <c r="G46">
        <v>376.7</v>
      </c>
      <c r="H46">
        <v>360.8</v>
      </c>
      <c r="I46">
        <v>361.2</v>
      </c>
      <c r="J46">
        <v>365.6</v>
      </c>
      <c r="K46">
        <v>370.1</v>
      </c>
    </row>
    <row r="47" spans="1:11" s="6" customFormat="1" x14ac:dyDescent="0.3">
      <c r="A47" s="6" t="s">
        <v>15</v>
      </c>
      <c r="B47">
        <v>3552.1</v>
      </c>
      <c r="C47">
        <v>3862.2</v>
      </c>
      <c r="D47">
        <v>4021.6</v>
      </c>
      <c r="E47">
        <v>4277.8</v>
      </c>
      <c r="F47">
        <v>4453.3</v>
      </c>
      <c r="G47">
        <v>4743</v>
      </c>
      <c r="H47">
        <v>4258.3</v>
      </c>
      <c r="I47">
        <v>4282.3999999999996</v>
      </c>
      <c r="J47">
        <v>4133.8999999999996</v>
      </c>
      <c r="K47">
        <v>4667.6000000000004</v>
      </c>
    </row>
    <row r="48" spans="1:11" s="6" customFormat="1" x14ac:dyDescent="0.3">
      <c r="A48" s="6" t="s">
        <v>16</v>
      </c>
      <c r="B48">
        <v>851.5</v>
      </c>
      <c r="C48">
        <v>1004</v>
      </c>
      <c r="D48">
        <v>985</v>
      </c>
      <c r="E48">
        <v>1051.2</v>
      </c>
      <c r="F48">
        <v>1086.5999999999999</v>
      </c>
      <c r="G48">
        <v>1154.9000000000001</v>
      </c>
      <c r="H48">
        <v>921.8</v>
      </c>
      <c r="I48">
        <v>1020</v>
      </c>
      <c r="J48">
        <v>988.9</v>
      </c>
      <c r="K48">
        <v>1146</v>
      </c>
    </row>
    <row r="49" spans="1:11" s="6" customFormat="1" x14ac:dyDescent="0.3">
      <c r="A49" s="6" t="s">
        <v>17</v>
      </c>
      <c r="B49">
        <v>2694.2</v>
      </c>
      <c r="C49">
        <v>2834.6</v>
      </c>
      <c r="D49">
        <v>3003.2</v>
      </c>
      <c r="E49">
        <v>3208.8</v>
      </c>
      <c r="F49">
        <v>3353.8</v>
      </c>
      <c r="G49">
        <v>3569.6</v>
      </c>
      <c r="H49">
        <v>3330.4</v>
      </c>
      <c r="I49">
        <v>3246.2</v>
      </c>
      <c r="J49">
        <v>3119</v>
      </c>
      <c r="K49">
        <v>3501.8</v>
      </c>
    </row>
    <row r="50" spans="1:11" x14ac:dyDescent="0.3">
      <c r="A50" s="6" t="s">
        <v>11</v>
      </c>
      <c r="B50">
        <v>4198.3</v>
      </c>
      <c r="C50">
        <v>4380.6000000000004</v>
      </c>
      <c r="D50">
        <v>4349.6000000000004</v>
      </c>
      <c r="E50">
        <v>4503.3</v>
      </c>
      <c r="F50">
        <v>4539.8</v>
      </c>
      <c r="G50">
        <v>4624</v>
      </c>
      <c r="H50">
        <v>4233.1000000000004</v>
      </c>
      <c r="I50">
        <v>4372.3999999999996</v>
      </c>
      <c r="J50">
        <v>4296.3999999999996</v>
      </c>
      <c r="K50">
        <v>4909.3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5" t="s">
        <v>40</v>
      </c>
    </row>
    <row r="56" spans="1:11" s="12" customFormat="1" x14ac:dyDescent="0.3">
      <c r="A56" s="13" t="s">
        <v>25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6" t="s">
        <v>39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1096.4000000000001</v>
      </c>
      <c r="H57">
        <v>1097.5999999999999</v>
      </c>
      <c r="I57">
        <v>1045</v>
      </c>
      <c r="J57">
        <v>2094.4</v>
      </c>
      <c r="K57">
        <v>2097.6999999999998</v>
      </c>
    </row>
    <row r="58" spans="1:11" x14ac:dyDescent="0.3">
      <c r="A58" s="6" t="s">
        <v>6</v>
      </c>
      <c r="B58">
        <v>51184.1</v>
      </c>
      <c r="C58">
        <v>47021.5</v>
      </c>
      <c r="D58">
        <v>55215.8</v>
      </c>
      <c r="E58">
        <v>54179</v>
      </c>
      <c r="F58">
        <v>53805.2</v>
      </c>
      <c r="G58">
        <v>64306.6</v>
      </c>
      <c r="H58">
        <v>76570.3</v>
      </c>
      <c r="I58">
        <v>73488</v>
      </c>
      <c r="J58">
        <v>80269.7</v>
      </c>
      <c r="K58">
        <v>85920.6</v>
      </c>
    </row>
    <row r="59" spans="1:11" x14ac:dyDescent="0.3">
      <c r="A59" s="6" t="s">
        <v>7</v>
      </c>
      <c r="B59">
        <v>14241.2</v>
      </c>
      <c r="C59">
        <v>13901.2</v>
      </c>
      <c r="D59">
        <v>9946.7000000000007</v>
      </c>
      <c r="E59">
        <v>9724</v>
      </c>
      <c r="F59">
        <v>10451.4</v>
      </c>
      <c r="G59">
        <v>17592.900000000001</v>
      </c>
      <c r="H59">
        <v>17466.599999999999</v>
      </c>
      <c r="I59">
        <v>16464.900000000001</v>
      </c>
      <c r="J59">
        <v>19203.5</v>
      </c>
      <c r="K59">
        <v>20291</v>
      </c>
    </row>
    <row r="60" spans="1:11" x14ac:dyDescent="0.3">
      <c r="A60" s="6" t="s">
        <v>38</v>
      </c>
      <c r="B60">
        <v>12760.8</v>
      </c>
      <c r="C60">
        <v>13563.3</v>
      </c>
      <c r="D60">
        <v>16217.1</v>
      </c>
      <c r="E60">
        <v>15953.9</v>
      </c>
      <c r="F60">
        <v>17213.400000000001</v>
      </c>
      <c r="G60">
        <v>24279.7</v>
      </c>
      <c r="H60">
        <v>21789.200000000001</v>
      </c>
      <c r="I60">
        <v>23611</v>
      </c>
      <c r="J60">
        <v>26361.5</v>
      </c>
      <c r="K60">
        <v>32574.2</v>
      </c>
    </row>
    <row r="61" spans="1:11" s="5" customFormat="1" x14ac:dyDescent="0.3">
      <c r="A61" s="5" t="s">
        <v>33</v>
      </c>
      <c r="B61">
        <v>78672.2</v>
      </c>
      <c r="C61">
        <v>75390.8</v>
      </c>
      <c r="D61">
        <v>82586.399999999994</v>
      </c>
      <c r="E61">
        <v>80999.600000000006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140883.5</v>
      </c>
    </row>
    <row r="62" spans="1:11" x14ac:dyDescent="0.3">
      <c r="A62" s="6" t="s">
        <v>37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37989.599999999999</v>
      </c>
      <c r="H62">
        <v>44756.800000000003</v>
      </c>
      <c r="I62">
        <v>43628</v>
      </c>
      <c r="J62">
        <v>45186.7</v>
      </c>
      <c r="K62">
        <v>51690.1</v>
      </c>
    </row>
    <row r="63" spans="1:11" x14ac:dyDescent="0.3">
      <c r="A63" s="6" t="s">
        <v>36</v>
      </c>
      <c r="B63">
        <v>737.7</v>
      </c>
      <c r="C63">
        <v>1377.7</v>
      </c>
      <c r="D63">
        <v>2141.8000000000002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3">
      <c r="A64" s="6" t="s">
        <v>35</v>
      </c>
      <c r="B64">
        <v>29913.3</v>
      </c>
      <c r="C64">
        <v>25796.799999999999</v>
      </c>
      <c r="D64">
        <v>22886.7</v>
      </c>
      <c r="E64">
        <v>20032</v>
      </c>
      <c r="F64">
        <v>18774.7</v>
      </c>
      <c r="G64">
        <v>26153.8</v>
      </c>
      <c r="H64">
        <v>33073.199999999997</v>
      </c>
      <c r="I64">
        <v>33384.400000000001</v>
      </c>
      <c r="J64">
        <v>43925.9</v>
      </c>
      <c r="K64">
        <v>46785.9</v>
      </c>
    </row>
    <row r="65" spans="1:11" x14ac:dyDescent="0.3">
      <c r="A65" s="6" t="s">
        <v>34</v>
      </c>
      <c r="B65">
        <v>28134.7</v>
      </c>
      <c r="C65">
        <v>30089.599999999999</v>
      </c>
      <c r="D65">
        <v>40093.199999999997</v>
      </c>
      <c r="E65">
        <v>37024.400000000001</v>
      </c>
      <c r="F65">
        <v>38897.599999999999</v>
      </c>
      <c r="G65">
        <v>41530.699999999997</v>
      </c>
      <c r="H65">
        <v>38476.6</v>
      </c>
      <c r="I65">
        <v>36873.1</v>
      </c>
      <c r="J65">
        <v>38620.1</v>
      </c>
      <c r="K65">
        <v>41995.3</v>
      </c>
    </row>
    <row r="66" spans="1:11" s="5" customFormat="1" x14ac:dyDescent="0.3">
      <c r="A66" s="5" t="s">
        <v>33</v>
      </c>
      <c r="B66">
        <v>78672.2</v>
      </c>
      <c r="C66">
        <v>75390.8</v>
      </c>
      <c r="D66">
        <v>82586.399999999994</v>
      </c>
      <c r="E66">
        <v>80999.600000000006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140883.5</v>
      </c>
    </row>
    <row r="67" spans="1:11" s="6" customFormat="1" x14ac:dyDescent="0.3">
      <c r="A67" s="6" t="s">
        <v>32</v>
      </c>
      <c r="B67">
        <v>9484.6</v>
      </c>
      <c r="C67">
        <v>10099</v>
      </c>
      <c r="D67">
        <v>10048.9</v>
      </c>
      <c r="E67">
        <v>10447.4</v>
      </c>
      <c r="F67">
        <v>9429.7999999999993</v>
      </c>
      <c r="G67">
        <v>11521.9</v>
      </c>
      <c r="H67">
        <v>12635</v>
      </c>
      <c r="I67">
        <v>11547.7</v>
      </c>
      <c r="J67">
        <v>11774.5</v>
      </c>
      <c r="K67">
        <v>13590.1</v>
      </c>
    </row>
    <row r="68" spans="1:11" x14ac:dyDescent="0.3">
      <c r="A68" s="6" t="s">
        <v>31</v>
      </c>
      <c r="B68">
        <v>391.5</v>
      </c>
      <c r="C68">
        <v>337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69.400000000000006</v>
      </c>
      <c r="K68">
        <v>51.7</v>
      </c>
    </row>
    <row r="69" spans="1:11" x14ac:dyDescent="0.3">
      <c r="A69" s="10" t="s">
        <v>30</v>
      </c>
      <c r="B69">
        <v>5271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</v>
      </c>
      <c r="I69">
        <v>9695.2999999999993</v>
      </c>
      <c r="J69">
        <v>12197.4</v>
      </c>
      <c r="K69">
        <v>10555.5</v>
      </c>
    </row>
    <row r="70" spans="1:11" x14ac:dyDescent="0.3">
      <c r="A70" s="10" t="s">
        <v>29</v>
      </c>
      <c r="B70">
        <v>2430900565</v>
      </c>
      <c r="C70">
        <v>4523784491</v>
      </c>
      <c r="D70">
        <v>6033935388</v>
      </c>
      <c r="E70">
        <v>5713357390</v>
      </c>
      <c r="F70">
        <v>5479138555</v>
      </c>
      <c r="G70">
        <v>5482070115</v>
      </c>
      <c r="H70">
        <v>5487917741</v>
      </c>
      <c r="I70">
        <v>5225138246</v>
      </c>
      <c r="J70">
        <v>10472136049</v>
      </c>
      <c r="K70">
        <v>10488412458</v>
      </c>
    </row>
    <row r="71" spans="1:11" x14ac:dyDescent="0.3">
      <c r="A71" s="10" t="s">
        <v>28</v>
      </c>
      <c r="C71">
        <v>2433074327</v>
      </c>
      <c r="D71">
        <v>1508469180</v>
      </c>
    </row>
    <row r="72" spans="1:11" x14ac:dyDescent="0.3">
      <c r="A72" s="10" t="s">
        <v>27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 x14ac:dyDescent="0.3">
      <c r="A73" s="15" t="s">
        <v>67</v>
      </c>
      <c r="B73" s="16">
        <v>0.1643713397664418</v>
      </c>
      <c r="C73" s="16">
        <v>0.16698138600309223</v>
      </c>
      <c r="D73" s="16">
        <v>0.15957612729650883</v>
      </c>
      <c r="E73" s="16">
        <v>0.17574116485935898</v>
      </c>
      <c r="F73" s="16">
        <v>0.196652155698439</v>
      </c>
      <c r="G73" s="16">
        <v>0.18698836444811401</v>
      </c>
      <c r="H73" s="16">
        <v>0.14613501845678845</v>
      </c>
      <c r="I73" s="16">
        <v>0.14819207599318424</v>
      </c>
      <c r="J73" s="16">
        <v>0.15947967621815817</v>
      </c>
      <c r="K73" s="16">
        <v>0.14993927399188578</v>
      </c>
    </row>
    <row r="74" spans="1:11" x14ac:dyDescent="0.3">
      <c r="A74" s="15" t="s">
        <v>72</v>
      </c>
      <c r="B74" s="16"/>
      <c r="C74" s="16">
        <v>0.16948948206067221</v>
      </c>
      <c r="D74" s="16">
        <v>0.19157576476167892</v>
      </c>
      <c r="E74" s="16">
        <v>0.19761366662861923</v>
      </c>
      <c r="F74" s="16">
        <v>0.22104156425592089</v>
      </c>
      <c r="G74" s="16">
        <v>0.21130407291489017</v>
      </c>
      <c r="H74" s="16">
        <v>0.17709947319491789</v>
      </c>
      <c r="I74" s="16">
        <v>0.17166490089850023</v>
      </c>
      <c r="J74" s="16">
        <v>0.19705191220649598</v>
      </c>
      <c r="K74" s="16">
        <v>0.17915168367743189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5" t="s">
        <v>26</v>
      </c>
    </row>
    <row r="81" spans="1:11" s="12" customFormat="1" x14ac:dyDescent="0.3">
      <c r="A81" s="13" t="s">
        <v>25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5" customFormat="1" x14ac:dyDescent="0.3">
      <c r="A82" s="6" t="s">
        <v>24</v>
      </c>
      <c r="B82">
        <v>9277.2999999999993</v>
      </c>
      <c r="C82">
        <v>8423.2999999999993</v>
      </c>
      <c r="D82">
        <v>11631.6</v>
      </c>
      <c r="E82">
        <v>10064.299999999999</v>
      </c>
      <c r="F82">
        <v>14755</v>
      </c>
      <c r="G82">
        <v>11079.7</v>
      </c>
      <c r="H82">
        <v>13060.1</v>
      </c>
      <c r="I82">
        <v>17621.599999999999</v>
      </c>
      <c r="J82">
        <v>16942.599999999999</v>
      </c>
      <c r="K82">
        <v>14931.6</v>
      </c>
    </row>
    <row r="83" spans="1:11" s="6" customFormat="1" x14ac:dyDescent="0.3">
      <c r="A83" s="6" t="s">
        <v>23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1144.0999999999999</v>
      </c>
      <c r="J83">
        <v>-8044</v>
      </c>
      <c r="K83">
        <v>-2447.5</v>
      </c>
    </row>
    <row r="84" spans="1:11" s="6" customFormat="1" x14ac:dyDescent="0.3">
      <c r="A84" s="6" t="s">
        <v>22</v>
      </c>
      <c r="B84">
        <v>-2275.1999999999998</v>
      </c>
      <c r="C84">
        <v>-12997.8</v>
      </c>
      <c r="D84">
        <v>-4936.8999999999996</v>
      </c>
      <c r="E84">
        <v>-15099.8</v>
      </c>
      <c r="F84">
        <v>-12884</v>
      </c>
      <c r="G84">
        <v>4658.6000000000004</v>
      </c>
      <c r="H84">
        <v>-6088.1</v>
      </c>
      <c r="I84">
        <v>-18256.7</v>
      </c>
      <c r="J84">
        <v>-6396.3</v>
      </c>
      <c r="K84">
        <v>-14126</v>
      </c>
    </row>
    <row r="85" spans="1:11" s="5" customFormat="1" x14ac:dyDescent="0.3">
      <c r="A85" s="6" t="s">
        <v>21</v>
      </c>
      <c r="B85">
        <v>-4767.3999999999996</v>
      </c>
      <c r="C85">
        <v>-979.2</v>
      </c>
      <c r="D85">
        <v>11759.9</v>
      </c>
      <c r="E85">
        <v>-1442.1</v>
      </c>
      <c r="F85">
        <v>2555.9</v>
      </c>
      <c r="G85">
        <v>-6583</v>
      </c>
      <c r="H85">
        <v>-1197.2</v>
      </c>
      <c r="I85">
        <v>509</v>
      </c>
      <c r="J85">
        <v>2502.3000000000002</v>
      </c>
      <c r="K85">
        <v>-1641.9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5" customFormat="1" x14ac:dyDescent="0.3">
      <c r="A90" s="5" t="s">
        <v>20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5" customFormat="1" x14ac:dyDescent="0.3">
      <c r="A92" s="5" t="s">
        <v>19</v>
      </c>
    </row>
    <row r="93" spans="1:11" x14ac:dyDescent="0.3">
      <c r="A93" s="10" t="s">
        <v>18</v>
      </c>
      <c r="B93" s="11">
        <v>1296.48</v>
      </c>
      <c r="C93" s="11">
        <v>1206.3499999999999</v>
      </c>
      <c r="D93" s="11">
        <v>1206.79</v>
      </c>
      <c r="E93" s="11">
        <v>1142.67</v>
      </c>
      <c r="F93" s="11">
        <v>1095.83</v>
      </c>
      <c r="G93" s="11">
        <v>1096.4100000000001</v>
      </c>
      <c r="H93" s="11">
        <v>1097.58</v>
      </c>
      <c r="I93" s="11">
        <v>1045.03</v>
      </c>
      <c r="J93" s="11">
        <v>1047.21</v>
      </c>
      <c r="K93" s="11">
        <v>1048.8399999999999</v>
      </c>
    </row>
  </sheetData>
  <mergeCells count="2">
    <mergeCell ref="E1:K1"/>
    <mergeCell ref="E2:K2"/>
  </mergeCells>
  <conditionalFormatting sqref="E1:K1">
    <cfRule type="cellIs" dxfId="1" priority="1" operator="notEqual">
      <formula>""</formula>
    </cfRule>
  </conditionalFormatting>
  <hyperlinks>
    <hyperlink ref="E1:K1" r:id="rId1" display="https://www.screener.in/excel/" xr:uid="{A21A3C3E-5291-4274-948E-6C339EF3ECDC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68BF-60D8-4A7B-8C5F-21E21DD0AC43}">
  <dimension ref="A1:K93"/>
  <sheetViews>
    <sheetView zoomScale="120" zoomScaleNormal="120" zoomScalePageLayoutView="120" workbookViewId="0">
      <pane xSplit="1" ySplit="1" topLeftCell="B65" activePane="bottomRight" state="frozen"/>
      <selection activeCell="C4" sqref="C4"/>
      <selection pane="topRight" activeCell="C4" sqref="C4"/>
      <selection pane="bottomLeft" activeCell="C4" sqref="C4"/>
      <selection pane="bottomRight" activeCell="D79" sqref="D79"/>
    </sheetView>
  </sheetViews>
  <sheetFormatPr defaultColWidth="8.77734375" defaultRowHeight="14.4" x14ac:dyDescent="0.3"/>
  <cols>
    <col min="1" max="1" width="27.6640625" style="10" bestFit="1" customWidth="1"/>
    <col min="2" max="11" width="13.44140625" style="10" bestFit="1" customWidth="1"/>
    <col min="12" max="16384" width="8.77734375" style="10"/>
  </cols>
  <sheetData>
    <row r="1" spans="1:11" s="5" customFormat="1" x14ac:dyDescent="0.3">
      <c r="A1" s="5" t="s">
        <v>60</v>
      </c>
      <c r="B1" s="5" t="s">
        <v>64</v>
      </c>
      <c r="E1" s="30" t="str">
        <f>IF(B2&lt;&gt;B3, "A NEW VERSION OF THE WORKSHEET IS AVAILABLE", "")</f>
        <v/>
      </c>
      <c r="F1" s="30"/>
      <c r="G1" s="30"/>
      <c r="H1" s="30"/>
      <c r="I1" s="30"/>
      <c r="J1" s="30"/>
      <c r="K1" s="30"/>
    </row>
    <row r="2" spans="1:11" x14ac:dyDescent="0.3">
      <c r="A2" s="5" t="s">
        <v>58</v>
      </c>
      <c r="B2" s="10">
        <v>2.1</v>
      </c>
      <c r="E2" s="31" t="s">
        <v>57</v>
      </c>
      <c r="F2" s="31"/>
      <c r="G2" s="31"/>
      <c r="H2" s="31"/>
      <c r="I2" s="31"/>
      <c r="J2" s="31"/>
      <c r="K2" s="31"/>
    </row>
    <row r="3" spans="1:11" x14ac:dyDescent="0.3">
      <c r="A3" s="5" t="s">
        <v>56</v>
      </c>
      <c r="B3" s="10">
        <v>2.1</v>
      </c>
    </row>
    <row r="4" spans="1:11" x14ac:dyDescent="0.3">
      <c r="A4" s="5"/>
    </row>
    <row r="5" spans="1:11" x14ac:dyDescent="0.3">
      <c r="A5" s="5" t="s">
        <v>55</v>
      </c>
    </row>
    <row r="6" spans="1:11" x14ac:dyDescent="0.3">
      <c r="A6" s="10" t="s">
        <v>54</v>
      </c>
      <c r="B6" s="10">
        <f>IF(B9&gt;0, B9/B8, 0)</f>
        <v>98.005793915325157</v>
      </c>
    </row>
    <row r="7" spans="1:11" x14ac:dyDescent="0.3">
      <c r="A7" s="10" t="s">
        <v>53</v>
      </c>
      <c r="B7">
        <v>5</v>
      </c>
    </row>
    <row r="8" spans="1:11" x14ac:dyDescent="0.3">
      <c r="A8" s="10" t="s">
        <v>52</v>
      </c>
      <c r="B8">
        <v>1410.1</v>
      </c>
    </row>
    <row r="9" spans="1:11" x14ac:dyDescent="0.3">
      <c r="A9" s="10" t="s">
        <v>51</v>
      </c>
      <c r="B9">
        <v>138197.97</v>
      </c>
    </row>
    <row r="15" spans="1:11" x14ac:dyDescent="0.3">
      <c r="A15" s="5" t="s">
        <v>50</v>
      </c>
    </row>
    <row r="16" spans="1:11" s="12" customFormat="1" x14ac:dyDescent="0.3">
      <c r="A16" s="13" t="s">
        <v>25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3">
      <c r="A17" s="6" t="s">
        <v>9</v>
      </c>
      <c r="B17">
        <v>29140.799999999999</v>
      </c>
      <c r="C17">
        <v>30772.9</v>
      </c>
      <c r="D17">
        <v>34742.1</v>
      </c>
      <c r="E17">
        <v>36867.699999999997</v>
      </c>
      <c r="F17">
        <v>37855.1</v>
      </c>
      <c r="G17">
        <v>44646</v>
      </c>
      <c r="H17">
        <v>53290.2</v>
      </c>
      <c r="I17">
        <v>51995.5</v>
      </c>
      <c r="J17">
        <v>52988.3</v>
      </c>
      <c r="K17">
        <v>56815.4</v>
      </c>
    </row>
    <row r="18" spans="1:11" s="6" customFormat="1" x14ac:dyDescent="0.3">
      <c r="A18" s="10" t="s">
        <v>49</v>
      </c>
    </row>
    <row r="19" spans="1:11" s="6" customFormat="1" x14ac:dyDescent="0.3">
      <c r="A19" s="10" t="s">
        <v>48</v>
      </c>
    </row>
    <row r="20" spans="1:11" s="6" customFormat="1" x14ac:dyDescent="0.3">
      <c r="A20" s="10" t="s">
        <v>47</v>
      </c>
      <c r="B20">
        <v>187.9</v>
      </c>
      <c r="C20">
        <v>194.7</v>
      </c>
      <c r="D20">
        <v>199.2</v>
      </c>
      <c r="E20">
        <v>205.3</v>
      </c>
      <c r="F20">
        <v>140.4</v>
      </c>
      <c r="G20">
        <v>139.9</v>
      </c>
      <c r="H20">
        <v>175.3</v>
      </c>
      <c r="I20">
        <v>194.7</v>
      </c>
      <c r="J20">
        <v>192.2</v>
      </c>
      <c r="K20">
        <v>205.7</v>
      </c>
    </row>
    <row r="21" spans="1:11" s="6" customFormat="1" x14ac:dyDescent="0.3">
      <c r="A21" s="10" t="s">
        <v>46</v>
      </c>
      <c r="B21">
        <v>5910.3</v>
      </c>
      <c r="C21">
        <v>5861.6</v>
      </c>
      <c r="D21">
        <v>6716.7</v>
      </c>
      <c r="E21">
        <v>8293.7000000000007</v>
      </c>
      <c r="F21">
        <v>8564.1</v>
      </c>
      <c r="G21">
        <v>11289.8</v>
      </c>
      <c r="H21">
        <v>13628.8</v>
      </c>
      <c r="I21">
        <v>12770.6</v>
      </c>
      <c r="J21">
        <v>12213.3</v>
      </c>
      <c r="K21">
        <v>13388.1</v>
      </c>
    </row>
    <row r="22" spans="1:11" s="6" customFormat="1" x14ac:dyDescent="0.3">
      <c r="A22" s="10" t="s">
        <v>45</v>
      </c>
      <c r="B22">
        <v>15453.9</v>
      </c>
      <c r="C22">
        <v>16624</v>
      </c>
      <c r="D22">
        <v>17507.900000000001</v>
      </c>
      <c r="E22">
        <v>18810</v>
      </c>
      <c r="F22">
        <v>19297.3</v>
      </c>
      <c r="G22">
        <v>22285.9</v>
      </c>
      <c r="H22">
        <v>27691.8</v>
      </c>
      <c r="I22">
        <v>29128.3</v>
      </c>
      <c r="J22">
        <v>29623.8</v>
      </c>
      <c r="K22">
        <v>30478.799999999999</v>
      </c>
    </row>
    <row r="23" spans="1:11" s="6" customFormat="1" x14ac:dyDescent="0.3">
      <c r="A23" s="10" t="s">
        <v>44</v>
      </c>
      <c r="B23">
        <v>3053.2</v>
      </c>
      <c r="C23">
        <v>3008.1</v>
      </c>
      <c r="D23">
        <v>3422.1</v>
      </c>
      <c r="E23">
        <v>3400.1</v>
      </c>
      <c r="F23">
        <v>2316</v>
      </c>
      <c r="G23">
        <v>2592.1999999999998</v>
      </c>
      <c r="H23">
        <v>3011.1</v>
      </c>
      <c r="I23">
        <v>3284.1</v>
      </c>
      <c r="J23">
        <v>3248.9</v>
      </c>
      <c r="K23">
        <v>3261.9</v>
      </c>
    </row>
    <row r="24" spans="1:11" s="6" customFormat="1" x14ac:dyDescent="0.3">
      <c r="A24" s="10" t="s">
        <v>43</v>
      </c>
      <c r="B24">
        <v>351.1</v>
      </c>
      <c r="C24">
        <v>374.9</v>
      </c>
      <c r="D24">
        <v>624.79999999999995</v>
      </c>
      <c r="E24">
        <v>655.5</v>
      </c>
      <c r="F24">
        <v>741</v>
      </c>
      <c r="G24">
        <v>318.2</v>
      </c>
      <c r="H24">
        <v>1020.4</v>
      </c>
      <c r="I24">
        <v>2111.5</v>
      </c>
      <c r="J24">
        <v>746.3</v>
      </c>
      <c r="K24">
        <v>448.3</v>
      </c>
    </row>
    <row r="25" spans="1:11" s="6" customFormat="1" x14ac:dyDescent="0.3">
      <c r="A25" s="6" t="s">
        <v>12</v>
      </c>
      <c r="B25">
        <v>775.3</v>
      </c>
      <c r="C25">
        <v>1416.6</v>
      </c>
      <c r="D25">
        <v>534.20000000000005</v>
      </c>
      <c r="E25">
        <v>1192.4000000000001</v>
      </c>
      <c r="F25">
        <v>788.3</v>
      </c>
      <c r="G25">
        <v>1115.0999999999999</v>
      </c>
      <c r="H25">
        <v>965</v>
      </c>
      <c r="I25">
        <v>927.4</v>
      </c>
      <c r="J25">
        <v>864</v>
      </c>
      <c r="K25">
        <v>-240.5</v>
      </c>
    </row>
    <row r="26" spans="1:11" s="6" customFormat="1" x14ac:dyDescent="0.3">
      <c r="A26" s="6" t="s">
        <v>13</v>
      </c>
      <c r="B26">
        <v>978.1</v>
      </c>
      <c r="C26">
        <v>1085</v>
      </c>
      <c r="D26">
        <v>1129.2</v>
      </c>
      <c r="E26">
        <v>1445.8</v>
      </c>
      <c r="F26">
        <v>1457.7</v>
      </c>
      <c r="G26">
        <v>1520.4</v>
      </c>
      <c r="H26">
        <v>1956.7</v>
      </c>
      <c r="I26">
        <v>1817.1</v>
      </c>
      <c r="J26">
        <v>1852.9</v>
      </c>
      <c r="K26">
        <v>1881.6</v>
      </c>
    </row>
    <row r="27" spans="1:11" s="6" customFormat="1" x14ac:dyDescent="0.3">
      <c r="A27" s="6" t="s">
        <v>14</v>
      </c>
      <c r="B27">
        <v>128.6</v>
      </c>
      <c r="C27">
        <v>162.4</v>
      </c>
      <c r="D27">
        <v>133.19999999999999</v>
      </c>
      <c r="E27">
        <v>191.9</v>
      </c>
      <c r="F27">
        <v>174</v>
      </c>
      <c r="G27">
        <v>162.6</v>
      </c>
      <c r="H27">
        <v>325.60000000000002</v>
      </c>
      <c r="I27">
        <v>392.2</v>
      </c>
      <c r="J27">
        <v>321.7</v>
      </c>
      <c r="K27">
        <v>337.4</v>
      </c>
    </row>
    <row r="28" spans="1:11" s="6" customFormat="1" x14ac:dyDescent="0.3">
      <c r="A28" s="6" t="s">
        <v>15</v>
      </c>
      <c r="B28">
        <v>3853</v>
      </c>
      <c r="C28">
        <v>4878.8</v>
      </c>
      <c r="D28">
        <v>5543.2</v>
      </c>
      <c r="E28">
        <v>5057.8</v>
      </c>
      <c r="F28">
        <v>5952.9</v>
      </c>
      <c r="G28">
        <v>7452.1</v>
      </c>
      <c r="H28">
        <v>6445.5</v>
      </c>
      <c r="I28">
        <v>3224.4</v>
      </c>
      <c r="J28">
        <v>5653.2</v>
      </c>
      <c r="K28">
        <v>6573.1</v>
      </c>
    </row>
    <row r="29" spans="1:11" s="6" customFormat="1" x14ac:dyDescent="0.3">
      <c r="A29" s="6" t="s">
        <v>16</v>
      </c>
      <c r="B29">
        <v>1002.1</v>
      </c>
      <c r="C29">
        <v>1092.5999999999999</v>
      </c>
      <c r="D29">
        <v>1254.4000000000001</v>
      </c>
      <c r="E29">
        <v>1160.4000000000001</v>
      </c>
      <c r="F29">
        <v>1599.9</v>
      </c>
      <c r="G29">
        <v>1822</v>
      </c>
      <c r="H29">
        <v>1588.5</v>
      </c>
      <c r="I29">
        <v>827.6</v>
      </c>
      <c r="J29">
        <v>1400.2</v>
      </c>
      <c r="K29">
        <v>1767.6</v>
      </c>
    </row>
    <row r="30" spans="1:11" s="6" customFormat="1" x14ac:dyDescent="0.3">
      <c r="A30" s="6" t="s">
        <v>17</v>
      </c>
      <c r="B30">
        <v>2812.9</v>
      </c>
      <c r="C30">
        <v>3799.8</v>
      </c>
      <c r="D30">
        <v>4297.6000000000004</v>
      </c>
      <c r="E30">
        <v>4033</v>
      </c>
      <c r="F30">
        <v>4428</v>
      </c>
      <c r="G30">
        <v>5566.1</v>
      </c>
      <c r="H30">
        <v>4831.3</v>
      </c>
      <c r="I30">
        <v>2357.8000000000002</v>
      </c>
      <c r="J30">
        <v>4251.5</v>
      </c>
      <c r="K30">
        <v>4810.8999999999996</v>
      </c>
    </row>
    <row r="31" spans="1:11" s="6" customFormat="1" x14ac:dyDescent="0.3">
      <c r="A31" s="6" t="s">
        <v>42</v>
      </c>
      <c r="B31">
        <v>789.84</v>
      </c>
      <c r="C31">
        <v>1236.76</v>
      </c>
      <c r="D31">
        <v>1242.3599999999999</v>
      </c>
      <c r="E31">
        <v>1307.7</v>
      </c>
      <c r="F31">
        <v>3933</v>
      </c>
      <c r="G31">
        <v>2632.8</v>
      </c>
      <c r="H31">
        <v>4400</v>
      </c>
      <c r="I31">
        <v>3530.4</v>
      </c>
      <c r="J31">
        <v>3981.6</v>
      </c>
      <c r="K31">
        <v>4516.5600000000004</v>
      </c>
    </row>
    <row r="32" spans="1:11" s="6" customFormat="1" x14ac:dyDescent="0.3">
      <c r="A32" s="6" t="s">
        <v>8</v>
      </c>
      <c r="B32" s="6">
        <v>28.876912021353046</v>
      </c>
      <c r="C32" s="6">
        <v>38.785342451770951</v>
      </c>
      <c r="D32" s="6">
        <v>43.701443969900346</v>
      </c>
      <c r="E32" s="6">
        <v>41.753804741691688</v>
      </c>
      <c r="F32" s="6">
        <v>45.729629247134156</v>
      </c>
      <c r="G32" s="6">
        <v>57.276188516155585</v>
      </c>
      <c r="H32" s="6">
        <v>49.597577250795609</v>
      </c>
      <c r="I32" s="6">
        <v>24.138001638001636</v>
      </c>
      <c r="J32" s="6">
        <v>43.426966292134829</v>
      </c>
      <c r="K32" s="6">
        <v>49.100836905490908</v>
      </c>
    </row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5" t="s">
        <v>41</v>
      </c>
    </row>
    <row r="41" spans="1:11" s="12" customFormat="1" x14ac:dyDescent="0.3">
      <c r="A41" s="13" t="s">
        <v>25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3">
      <c r="A42" s="6" t="s">
        <v>9</v>
      </c>
      <c r="B42">
        <v>13101.3</v>
      </c>
      <c r="C42">
        <v>12871.3</v>
      </c>
      <c r="D42">
        <v>13005.5</v>
      </c>
      <c r="E42">
        <v>13313.2</v>
      </c>
      <c r="F42">
        <v>13285.6</v>
      </c>
      <c r="G42">
        <v>13384</v>
      </c>
      <c r="H42">
        <v>13351.2</v>
      </c>
      <c r="I42">
        <v>13994.9</v>
      </c>
      <c r="J42">
        <v>14393.2</v>
      </c>
      <c r="K42">
        <v>15076.1</v>
      </c>
    </row>
    <row r="43" spans="1:11" s="6" customFormat="1" x14ac:dyDescent="0.3">
      <c r="A43" s="6" t="s">
        <v>10</v>
      </c>
      <c r="B43">
        <v>11954.9</v>
      </c>
      <c r="C43">
        <v>11772.2</v>
      </c>
      <c r="D43">
        <v>11441</v>
      </c>
      <c r="E43">
        <v>11563</v>
      </c>
      <c r="F43">
        <v>11476.6</v>
      </c>
      <c r="G43">
        <v>11545.1</v>
      </c>
      <c r="H43">
        <v>11416</v>
      </c>
      <c r="I43">
        <v>11829.7</v>
      </c>
      <c r="J43">
        <v>12027.6</v>
      </c>
      <c r="K43">
        <v>12510.9</v>
      </c>
    </row>
    <row r="44" spans="1:11" s="6" customFormat="1" x14ac:dyDescent="0.3">
      <c r="A44" s="6" t="s">
        <v>12</v>
      </c>
      <c r="B44">
        <v>92.3</v>
      </c>
      <c r="C44">
        <v>379.9</v>
      </c>
      <c r="D44">
        <v>147.30000000000001</v>
      </c>
      <c r="E44">
        <v>522.1</v>
      </c>
      <c r="F44">
        <v>23.1</v>
      </c>
      <c r="G44">
        <v>172.7</v>
      </c>
      <c r="H44">
        <v>218.8</v>
      </c>
      <c r="I44">
        <v>40</v>
      </c>
      <c r="J44">
        <v>-293.2</v>
      </c>
      <c r="K44">
        <v>-204.7</v>
      </c>
    </row>
    <row r="45" spans="1:11" s="6" customFormat="1" x14ac:dyDescent="0.3">
      <c r="A45" s="6" t="s">
        <v>13</v>
      </c>
      <c r="B45">
        <v>443.4</v>
      </c>
      <c r="C45">
        <v>461.4</v>
      </c>
      <c r="D45">
        <v>462.2</v>
      </c>
      <c r="E45">
        <v>469.8</v>
      </c>
      <c r="F45">
        <v>458.8</v>
      </c>
      <c r="G45">
        <v>462.1</v>
      </c>
      <c r="H45">
        <v>458.1</v>
      </c>
      <c r="I45">
        <v>468.7</v>
      </c>
      <c r="J45">
        <v>473.7</v>
      </c>
      <c r="K45">
        <v>481.1</v>
      </c>
    </row>
    <row r="46" spans="1:11" s="6" customFormat="1" x14ac:dyDescent="0.3">
      <c r="A46" s="6" t="s">
        <v>14</v>
      </c>
      <c r="B46">
        <v>116.5</v>
      </c>
      <c r="C46">
        <v>58.5</v>
      </c>
      <c r="D46">
        <v>71.5</v>
      </c>
      <c r="E46">
        <v>89</v>
      </c>
      <c r="F46">
        <v>75.900000000000006</v>
      </c>
      <c r="G46">
        <v>85.3</v>
      </c>
      <c r="H46">
        <v>77.8</v>
      </c>
      <c r="I46">
        <v>77.2</v>
      </c>
      <c r="J46">
        <v>93.6</v>
      </c>
      <c r="K46">
        <v>88.8</v>
      </c>
    </row>
    <row r="47" spans="1:11" s="6" customFormat="1" x14ac:dyDescent="0.3">
      <c r="A47" s="6" t="s">
        <v>15</v>
      </c>
      <c r="B47">
        <v>678.8</v>
      </c>
      <c r="C47">
        <v>959.1</v>
      </c>
      <c r="D47">
        <v>1178.0999999999999</v>
      </c>
      <c r="E47">
        <v>1713.5</v>
      </c>
      <c r="F47">
        <v>1297.4000000000001</v>
      </c>
      <c r="G47">
        <v>1464.2</v>
      </c>
      <c r="H47">
        <v>1618.1</v>
      </c>
      <c r="I47">
        <v>1659.3</v>
      </c>
      <c r="J47">
        <v>1505.1</v>
      </c>
      <c r="K47">
        <v>1790.6</v>
      </c>
    </row>
    <row r="48" spans="1:11" s="6" customFormat="1" x14ac:dyDescent="0.3">
      <c r="A48" s="6" t="s">
        <v>16</v>
      </c>
      <c r="B48">
        <v>155.1</v>
      </c>
      <c r="C48">
        <v>294.89999999999998</v>
      </c>
      <c r="D48">
        <v>313.3</v>
      </c>
      <c r="E48">
        <v>456</v>
      </c>
      <c r="F48">
        <v>308.60000000000002</v>
      </c>
      <c r="G48">
        <v>322.3</v>
      </c>
      <c r="H48">
        <v>489.3</v>
      </c>
      <c r="I48">
        <v>457.6</v>
      </c>
      <c r="J48">
        <v>386.5</v>
      </c>
      <c r="K48">
        <v>434.2</v>
      </c>
    </row>
    <row r="49" spans="1:11" s="6" customFormat="1" x14ac:dyDescent="0.3">
      <c r="A49" s="6" t="s">
        <v>17</v>
      </c>
      <c r="B49">
        <v>510.4</v>
      </c>
      <c r="C49">
        <v>661</v>
      </c>
      <c r="D49">
        <v>851.5</v>
      </c>
      <c r="E49">
        <v>1250.0999999999999</v>
      </c>
      <c r="F49">
        <v>983.2</v>
      </c>
      <c r="G49">
        <v>1166.7</v>
      </c>
      <c r="H49">
        <v>1140.5999999999999</v>
      </c>
      <c r="I49">
        <v>1194.5</v>
      </c>
      <c r="J49">
        <v>1122</v>
      </c>
      <c r="K49">
        <v>1353.8</v>
      </c>
    </row>
    <row r="50" spans="1:11" x14ac:dyDescent="0.3">
      <c r="A50" s="6" t="s">
        <v>11</v>
      </c>
      <c r="B50">
        <v>1146.4000000000001</v>
      </c>
      <c r="C50">
        <v>1099.0999999999999</v>
      </c>
      <c r="D50">
        <v>1564.5</v>
      </c>
      <c r="E50">
        <v>1750.2</v>
      </c>
      <c r="F50">
        <v>1809</v>
      </c>
      <c r="G50">
        <v>1838.9</v>
      </c>
      <c r="H50">
        <v>1935.2</v>
      </c>
      <c r="I50">
        <v>2165.1999999999998</v>
      </c>
      <c r="J50">
        <v>2365.6</v>
      </c>
      <c r="K50">
        <v>2565.1999999999998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5" t="s">
        <v>40</v>
      </c>
    </row>
    <row r="56" spans="1:11" s="12" customFormat="1" x14ac:dyDescent="0.3">
      <c r="A56" s="13" t="s">
        <v>25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6" t="s">
        <v>39</v>
      </c>
      <c r="B57">
        <v>438.8</v>
      </c>
      <c r="C57">
        <v>441.7</v>
      </c>
      <c r="D57">
        <v>443.7</v>
      </c>
      <c r="E57">
        <v>435.9</v>
      </c>
      <c r="F57">
        <v>437</v>
      </c>
      <c r="G57">
        <v>438.8</v>
      </c>
      <c r="H57">
        <v>440</v>
      </c>
      <c r="I57">
        <v>441.3</v>
      </c>
      <c r="J57">
        <v>442.4</v>
      </c>
      <c r="K57">
        <v>442.8</v>
      </c>
    </row>
    <row r="58" spans="1:11" x14ac:dyDescent="0.3">
      <c r="A58" s="6" t="s">
        <v>6</v>
      </c>
      <c r="B58">
        <v>15998.4</v>
      </c>
      <c r="C58">
        <v>18401.099999999999</v>
      </c>
      <c r="D58">
        <v>19840.7</v>
      </c>
      <c r="E58">
        <v>21377.200000000001</v>
      </c>
      <c r="F58">
        <v>24428</v>
      </c>
      <c r="G58">
        <v>26446.9</v>
      </c>
      <c r="H58">
        <v>27484.5</v>
      </c>
      <c r="I58">
        <v>26228.1</v>
      </c>
      <c r="J58">
        <v>26919.1</v>
      </c>
      <c r="K58">
        <v>29172.6</v>
      </c>
    </row>
    <row r="59" spans="1:11" x14ac:dyDescent="0.3">
      <c r="A59" s="6" t="s">
        <v>7</v>
      </c>
      <c r="B59">
        <v>1366.2</v>
      </c>
      <c r="C59">
        <v>2396.6</v>
      </c>
      <c r="D59">
        <v>1995.5</v>
      </c>
      <c r="E59">
        <v>3670.5</v>
      </c>
      <c r="F59">
        <v>2900.8</v>
      </c>
      <c r="G59">
        <v>2618.4</v>
      </c>
      <c r="H59">
        <v>2740.2</v>
      </c>
      <c r="I59">
        <v>2536.6999999999998</v>
      </c>
      <c r="J59">
        <v>2025.2</v>
      </c>
      <c r="K59">
        <v>2186.1999999999998</v>
      </c>
    </row>
    <row r="60" spans="1:11" x14ac:dyDescent="0.3">
      <c r="A60" s="6" t="s">
        <v>38</v>
      </c>
      <c r="B60">
        <v>8253.6</v>
      </c>
      <c r="C60">
        <v>9192</v>
      </c>
      <c r="D60">
        <v>11165.9</v>
      </c>
      <c r="E60">
        <v>11834.3</v>
      </c>
      <c r="F60">
        <v>11836.1</v>
      </c>
      <c r="G60">
        <v>14911.4</v>
      </c>
      <c r="H60">
        <v>15162.5</v>
      </c>
      <c r="I60">
        <v>13943</v>
      </c>
      <c r="J60">
        <v>14879.9</v>
      </c>
      <c r="K60">
        <v>17366.099999999999</v>
      </c>
    </row>
    <row r="61" spans="1:11" s="5" customFormat="1" x14ac:dyDescent="0.3">
      <c r="A61" s="5" t="s">
        <v>33</v>
      </c>
      <c r="B61">
        <v>26057</v>
      </c>
      <c r="C61">
        <v>30431.4</v>
      </c>
      <c r="D61">
        <v>33445.800000000003</v>
      </c>
      <c r="E61">
        <v>37317.9</v>
      </c>
      <c r="F61">
        <v>39601.9</v>
      </c>
      <c r="G61">
        <v>44415.5</v>
      </c>
      <c r="H61">
        <v>45827.199999999997</v>
      </c>
      <c r="I61">
        <v>43149.1</v>
      </c>
      <c r="J61">
        <v>44266.6</v>
      </c>
      <c r="K61">
        <v>49167.7</v>
      </c>
    </row>
    <row r="62" spans="1:11" x14ac:dyDescent="0.3">
      <c r="A62" s="6" t="s">
        <v>37</v>
      </c>
      <c r="B62">
        <v>6460.1</v>
      </c>
      <c r="C62">
        <v>7622.4</v>
      </c>
      <c r="D62">
        <v>7061.2</v>
      </c>
      <c r="E62">
        <v>8872</v>
      </c>
      <c r="F62">
        <v>9018.5</v>
      </c>
      <c r="G62">
        <v>14783.6</v>
      </c>
      <c r="H62">
        <v>14931.5</v>
      </c>
      <c r="I62">
        <v>13903</v>
      </c>
      <c r="J62">
        <v>13981.5</v>
      </c>
      <c r="K62">
        <v>14864</v>
      </c>
    </row>
    <row r="63" spans="1:11" x14ac:dyDescent="0.3">
      <c r="A63" s="6" t="s">
        <v>36</v>
      </c>
      <c r="B63">
        <v>372.9</v>
      </c>
      <c r="C63">
        <v>239.9</v>
      </c>
      <c r="D63">
        <v>276.3</v>
      </c>
      <c r="E63">
        <v>50.1</v>
      </c>
      <c r="F63">
        <v>118.3</v>
      </c>
      <c r="G63">
        <v>165.1</v>
      </c>
      <c r="H63">
        <v>119.7</v>
      </c>
      <c r="I63">
        <v>133.19999999999999</v>
      </c>
      <c r="J63">
        <v>20.6</v>
      </c>
      <c r="K63">
        <v>26.8</v>
      </c>
    </row>
    <row r="64" spans="1:11" x14ac:dyDescent="0.3">
      <c r="A64" s="6" t="s">
        <v>35</v>
      </c>
      <c r="B64">
        <v>2395.5</v>
      </c>
      <c r="C64">
        <v>4840.7</v>
      </c>
      <c r="D64">
        <v>7341.9</v>
      </c>
      <c r="E64">
        <v>5848.3</v>
      </c>
      <c r="F64">
        <v>10237.6</v>
      </c>
      <c r="G64">
        <v>4883.8</v>
      </c>
      <c r="H64">
        <v>3388.1</v>
      </c>
      <c r="I64">
        <v>3237.7</v>
      </c>
      <c r="J64">
        <v>3182.1</v>
      </c>
      <c r="K64">
        <v>3425.7</v>
      </c>
    </row>
    <row r="65" spans="1:11" x14ac:dyDescent="0.3">
      <c r="A65" s="6" t="s">
        <v>34</v>
      </c>
      <c r="B65">
        <v>16828.5</v>
      </c>
      <c r="C65">
        <v>17728.400000000001</v>
      </c>
      <c r="D65">
        <v>18766.400000000001</v>
      </c>
      <c r="E65">
        <v>22547.5</v>
      </c>
      <c r="F65">
        <v>20227.5</v>
      </c>
      <c r="G65">
        <v>24583</v>
      </c>
      <c r="H65">
        <v>27387.9</v>
      </c>
      <c r="I65">
        <v>25875.200000000001</v>
      </c>
      <c r="J65">
        <v>27082.400000000001</v>
      </c>
      <c r="K65">
        <v>30851.200000000001</v>
      </c>
    </row>
    <row r="66" spans="1:11" s="5" customFormat="1" x14ac:dyDescent="0.3">
      <c r="A66" s="5" t="s">
        <v>33</v>
      </c>
      <c r="B66">
        <v>26057</v>
      </c>
      <c r="C66">
        <v>30431.4</v>
      </c>
      <c r="D66">
        <v>33445.800000000003</v>
      </c>
      <c r="E66">
        <v>37317.9</v>
      </c>
      <c r="F66">
        <v>39601.9</v>
      </c>
      <c r="G66">
        <v>44415.5</v>
      </c>
      <c r="H66">
        <v>45827.199999999997</v>
      </c>
      <c r="I66">
        <v>43149.1</v>
      </c>
      <c r="J66">
        <v>44266.6</v>
      </c>
      <c r="K66">
        <v>49167.7</v>
      </c>
    </row>
    <row r="67" spans="1:11" s="6" customFormat="1" x14ac:dyDescent="0.3">
      <c r="A67" s="6" t="s">
        <v>32</v>
      </c>
      <c r="B67">
        <v>5337.7</v>
      </c>
      <c r="C67">
        <v>6497.9</v>
      </c>
      <c r="D67">
        <v>6958.6</v>
      </c>
      <c r="E67">
        <v>7577.2</v>
      </c>
      <c r="F67">
        <v>6472.8</v>
      </c>
      <c r="G67">
        <v>11933.4</v>
      </c>
      <c r="H67">
        <v>12881.6</v>
      </c>
      <c r="I67">
        <v>11401.1</v>
      </c>
      <c r="J67">
        <v>11547</v>
      </c>
      <c r="K67">
        <v>13357.7</v>
      </c>
    </row>
    <row r="68" spans="1:11" x14ac:dyDescent="0.3">
      <c r="A68" s="6" t="s">
        <v>31</v>
      </c>
      <c r="B68">
        <v>61.1</v>
      </c>
      <c r="C68">
        <v>65.900000000000006</v>
      </c>
      <c r="D68">
        <v>75.2</v>
      </c>
      <c r="E68">
        <v>35.799999999999997</v>
      </c>
      <c r="F68">
        <v>24.2</v>
      </c>
      <c r="G68">
        <v>40.5</v>
      </c>
      <c r="H68">
        <v>23.6</v>
      </c>
      <c r="I68">
        <v>37.5</v>
      </c>
      <c r="J68">
        <v>39.4</v>
      </c>
      <c r="K68">
        <v>104.2</v>
      </c>
    </row>
    <row r="69" spans="1:11" x14ac:dyDescent="0.3">
      <c r="A69" s="10" t="s">
        <v>30</v>
      </c>
      <c r="B69">
        <v>3218.6</v>
      </c>
      <c r="C69">
        <v>3044.3</v>
      </c>
      <c r="D69">
        <v>2358.6999999999998</v>
      </c>
      <c r="E69">
        <v>3148.3</v>
      </c>
      <c r="F69">
        <v>2835.2</v>
      </c>
      <c r="G69">
        <v>3974.5</v>
      </c>
      <c r="H69">
        <v>4254.7</v>
      </c>
      <c r="I69">
        <v>4735.5</v>
      </c>
      <c r="J69">
        <v>4542.2</v>
      </c>
      <c r="K69">
        <v>5105.3999999999996</v>
      </c>
    </row>
    <row r="70" spans="1:11" x14ac:dyDescent="0.3">
      <c r="A70" s="10" t="s">
        <v>29</v>
      </c>
      <c r="B70">
        <v>877539300</v>
      </c>
      <c r="C70">
        <v>979733808</v>
      </c>
      <c r="D70">
        <v>887268630</v>
      </c>
      <c r="E70">
        <v>965852364</v>
      </c>
      <c r="F70">
        <v>873959406</v>
      </c>
      <c r="G70">
        <v>877597850</v>
      </c>
      <c r="H70">
        <v>879911846</v>
      </c>
      <c r="I70">
        <v>882522894</v>
      </c>
      <c r="J70">
        <v>884758083</v>
      </c>
      <c r="K70">
        <v>885605623</v>
      </c>
    </row>
    <row r="71" spans="1:11" x14ac:dyDescent="0.3">
      <c r="A71" s="10" t="s">
        <v>28</v>
      </c>
    </row>
    <row r="72" spans="1:11" x14ac:dyDescent="0.3">
      <c r="A72" s="10" t="s">
        <v>27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3" spans="1:11" x14ac:dyDescent="0.3">
      <c r="A73" s="15" t="s">
        <v>67</v>
      </c>
      <c r="B73" s="16">
        <v>0.17113011948507045</v>
      </c>
      <c r="C73" s="16">
        <v>0.20165792769652072</v>
      </c>
      <c r="D73" s="16">
        <v>0.21186724773717733</v>
      </c>
      <c r="E73" s="16">
        <v>0.1848888970389353</v>
      </c>
      <c r="F73" s="16">
        <v>0.17808164086064748</v>
      </c>
      <c r="G73" s="16">
        <v>0.20702827153468201</v>
      </c>
      <c r="H73" s="16">
        <v>0.17301294562122868</v>
      </c>
      <c r="I73" s="16">
        <v>8.8408438135091166E-2</v>
      </c>
      <c r="J73" s="16">
        <v>0.15538256309047385</v>
      </c>
      <c r="K73" s="16">
        <v>0.1624458896384989</v>
      </c>
    </row>
    <row r="74" spans="1:11" x14ac:dyDescent="0.3">
      <c r="A74" s="15" t="s">
        <v>72</v>
      </c>
      <c r="B74" s="16"/>
      <c r="C74" s="16">
        <v>0.25823967543311444</v>
      </c>
      <c r="D74" s="16">
        <v>0.26086816653760514</v>
      </c>
      <c r="E74" s="16">
        <v>0.21982057428789764</v>
      </c>
      <c r="F74" s="16">
        <v>0.23012090277073538</v>
      </c>
      <c r="G74" s="16">
        <v>0.26592328605427984</v>
      </c>
      <c r="H74" s="16">
        <v>0.22507013601733789</v>
      </c>
      <c r="I74" s="16">
        <v>0.12081348503778136</v>
      </c>
      <c r="J74" s="16">
        <v>0.20394655998689259</v>
      </c>
      <c r="K74" s="16">
        <v>0.22587651560837613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5" t="s">
        <v>26</v>
      </c>
    </row>
    <row r="81" spans="1:11" s="12" customFormat="1" x14ac:dyDescent="0.3">
      <c r="A81" s="13" t="s">
        <v>25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5" customFormat="1" x14ac:dyDescent="0.3">
      <c r="A82" s="6" t="s">
        <v>24</v>
      </c>
      <c r="B82">
        <v>4071.4</v>
      </c>
      <c r="C82">
        <v>3553.5</v>
      </c>
      <c r="D82">
        <v>4432</v>
      </c>
      <c r="E82">
        <v>4358.1000000000004</v>
      </c>
      <c r="F82">
        <v>8093.8</v>
      </c>
      <c r="G82">
        <v>5285.3</v>
      </c>
      <c r="H82">
        <v>5572</v>
      </c>
      <c r="I82">
        <v>6376.4</v>
      </c>
      <c r="J82">
        <v>5785.7</v>
      </c>
      <c r="K82">
        <v>6172</v>
      </c>
    </row>
    <row r="83" spans="1:11" s="6" customFormat="1" x14ac:dyDescent="0.3">
      <c r="A83" s="6" t="s">
        <v>23</v>
      </c>
      <c r="B83">
        <v>-2893</v>
      </c>
      <c r="C83">
        <v>-3319.3</v>
      </c>
      <c r="D83">
        <v>-2104.1999999999998</v>
      </c>
      <c r="E83">
        <v>1081.4000000000001</v>
      </c>
      <c r="F83">
        <v>-5433.2</v>
      </c>
      <c r="G83">
        <v>479.8</v>
      </c>
      <c r="H83">
        <v>-226.5</v>
      </c>
      <c r="I83">
        <v>-1318.4</v>
      </c>
      <c r="J83">
        <v>-15.1</v>
      </c>
      <c r="K83">
        <v>-313.89999999999998</v>
      </c>
    </row>
    <row r="84" spans="1:11" s="6" customFormat="1" x14ac:dyDescent="0.3">
      <c r="A84" s="6" t="s">
        <v>22</v>
      </c>
      <c r="B84">
        <v>-1570.9</v>
      </c>
      <c r="C84">
        <v>-269.39999999999998</v>
      </c>
      <c r="D84">
        <v>-2251.1999999999998</v>
      </c>
      <c r="E84">
        <v>-4465.5</v>
      </c>
      <c r="F84">
        <v>-2986.9</v>
      </c>
      <c r="G84">
        <v>-4666.6000000000004</v>
      </c>
      <c r="H84">
        <v>-5078.1000000000004</v>
      </c>
      <c r="I84">
        <v>-4767.2</v>
      </c>
      <c r="J84">
        <v>-5799.2</v>
      </c>
      <c r="K84">
        <v>-5130.5</v>
      </c>
    </row>
    <row r="85" spans="1:11" s="5" customFormat="1" x14ac:dyDescent="0.3">
      <c r="A85" s="6" t="s">
        <v>21</v>
      </c>
      <c r="B85">
        <v>-392.5</v>
      </c>
      <c r="C85">
        <v>-35.200000000000003</v>
      </c>
      <c r="D85">
        <v>76.599999999999994</v>
      </c>
      <c r="E85">
        <v>974</v>
      </c>
      <c r="F85">
        <v>-326.3</v>
      </c>
      <c r="G85">
        <v>1098.5</v>
      </c>
      <c r="H85">
        <v>267.39999999999998</v>
      </c>
      <c r="I85">
        <v>290.8</v>
      </c>
      <c r="J85">
        <v>-28.6</v>
      </c>
      <c r="K85">
        <v>727.6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5" customFormat="1" x14ac:dyDescent="0.3">
      <c r="A90" s="5" t="s">
        <v>20</v>
      </c>
      <c r="B90">
        <v>459.15</v>
      </c>
      <c r="C90">
        <v>638.70000000000005</v>
      </c>
      <c r="D90">
        <v>775.9</v>
      </c>
      <c r="E90">
        <v>565.5</v>
      </c>
      <c r="F90">
        <v>991.45</v>
      </c>
      <c r="G90">
        <v>1499.45</v>
      </c>
      <c r="H90">
        <v>1101.8499999999999</v>
      </c>
      <c r="I90">
        <v>1248.0999999999999</v>
      </c>
      <c r="J90">
        <v>1418.25</v>
      </c>
      <c r="K90">
        <v>1384</v>
      </c>
    </row>
    <row r="92" spans="1:11" s="5" customFormat="1" x14ac:dyDescent="0.3">
      <c r="A92" s="5" t="s">
        <v>19</v>
      </c>
    </row>
    <row r="93" spans="1:11" x14ac:dyDescent="0.3">
      <c r="A93" s="10" t="s">
        <v>18</v>
      </c>
      <c r="B93" s="11">
        <v>97.41</v>
      </c>
      <c r="C93" s="11">
        <v>97.97</v>
      </c>
      <c r="D93" s="11">
        <v>98.34</v>
      </c>
      <c r="E93" s="11">
        <v>96.59</v>
      </c>
      <c r="F93" s="11">
        <v>96.83</v>
      </c>
      <c r="G93" s="11">
        <v>97.18</v>
      </c>
      <c r="H93" s="11">
        <v>97.41</v>
      </c>
      <c r="I93" s="11">
        <v>97.68</v>
      </c>
      <c r="J93" s="11">
        <v>97.9</v>
      </c>
      <c r="K93" s="11">
        <v>97.98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520E7EB-770B-4C2A-8212-A0F4F5D7466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Summary</vt:lpstr>
      <vt:lpstr>Final_Data</vt:lpstr>
      <vt:lpstr>TCS</vt:lpstr>
      <vt:lpstr>Infosys</vt:lpstr>
      <vt:lpstr>HCLTech</vt:lpstr>
      <vt:lpstr>Wipro</vt:lpstr>
      <vt:lpstr>TechM</vt:lpstr>
      <vt:lpstr>HCLTech!UPDATE</vt:lpstr>
      <vt:lpstr>Infosys!UPDATE</vt:lpstr>
      <vt:lpstr>TCS!UPDATE</vt:lpstr>
      <vt:lpstr>TechM!UPDATE</vt:lpstr>
      <vt:lpstr>Wipro!UPDATE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Prathipati</dc:creator>
  <cp:lastModifiedBy>Kiran Prathipati</cp:lastModifiedBy>
  <dcterms:created xsi:type="dcterms:W3CDTF">2026-07-05T08:27:55Z</dcterms:created>
  <dcterms:modified xsi:type="dcterms:W3CDTF">2026-07-11T08:56:50Z</dcterms:modified>
</cp:coreProperties>
</file>